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m\Desktop\원문 DB\내 논문들\인드라망 논문\"/>
    </mc:Choice>
  </mc:AlternateContent>
  <xr:revisionPtr revIDLastSave="0" documentId="13_ncr:1_{668FFB43-8A6C-44C8-A03D-8694A8A0A0F6}" xr6:coauthVersionLast="47" xr6:coauthVersionMax="47" xr10:uidLastSave="{00000000-0000-0000-0000-000000000000}"/>
  <bookViews>
    <workbookView xWindow="-120" yWindow="-120" windowWidth="29040" windowHeight="15720" xr2:uid="{667A59B4-D74F-4483-9F4F-B3F827FF05F3}"/>
  </bookViews>
  <sheets>
    <sheet name="CBETA_export_帝網_帝釋網_因陀羅網 분석용 리스" sheetId="1" r:id="rId1"/>
  </sheets>
  <definedNames>
    <definedName name="_xlnm._FilterDatabase" localSheetId="0" hidden="1">'CBETA_export_帝網_帝釋網_因陀羅網 분석용 리스'!$A$3:$X$63</definedName>
    <definedName name="_xlnm.Criteria" localSheetId="0">'CBETA_export_帝網_帝釋網_因陀羅網 분석용 리스'!$A$3:$X$3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" i="1" l="1" a="1"/>
  <c r="U57" i="1" s="1"/>
  <c r="U58" i="1" a="1"/>
  <c r="U58" i="1" s="1"/>
  <c r="U59" i="1" a="1"/>
  <c r="U59" i="1" s="1"/>
  <c r="U55" i="1" a="1"/>
  <c r="U55" i="1" s="1"/>
  <c r="U16" i="1" a="1"/>
  <c r="U16" i="1" s="1"/>
  <c r="U15" i="1" a="1"/>
  <c r="U15" i="1" s="1"/>
  <c r="U25" i="1" a="1"/>
  <c r="U25" i="1" s="1"/>
  <c r="U27" i="1" a="1"/>
  <c r="U27" i="1" s="1"/>
  <c r="U28" i="1" a="1"/>
  <c r="U28" i="1" s="1"/>
  <c r="U63" i="1" a="1"/>
  <c r="U63" i="1" s="1"/>
  <c r="U45" i="1" a="1"/>
  <c r="U45" i="1" s="1"/>
  <c r="U40" i="1" a="1"/>
  <c r="U40" i="1" s="1"/>
  <c r="U18" i="1" a="1"/>
  <c r="U18" i="1" s="1"/>
  <c r="U26" i="1" a="1"/>
  <c r="U26" i="1" s="1"/>
  <c r="U21" i="1" a="1"/>
  <c r="U21" i="1" s="1"/>
  <c r="U20" i="1" a="1"/>
  <c r="U20" i="1" s="1"/>
  <c r="U17" i="1" a="1"/>
  <c r="U17" i="1" s="1"/>
  <c r="U4" i="1" a="1"/>
  <c r="U4" i="1" s="1"/>
  <c r="U56" i="1" a="1"/>
  <c r="U56" i="1" s="1"/>
  <c r="U19" i="1" a="1"/>
  <c r="U19" i="1" s="1"/>
  <c r="U54" i="1" a="1"/>
  <c r="U54" i="1" s="1"/>
  <c r="U5" i="1" a="1"/>
  <c r="U5" i="1" s="1"/>
  <c r="U12" i="1" a="1"/>
  <c r="U12" i="1" s="1"/>
  <c r="U22" i="1" a="1"/>
  <c r="U22" i="1" s="1"/>
  <c r="U23" i="1" a="1"/>
  <c r="U23" i="1" s="1"/>
  <c r="U6" i="1" a="1"/>
  <c r="U6" i="1" s="1"/>
  <c r="U7" i="1" a="1"/>
  <c r="U7" i="1" s="1"/>
  <c r="U8" i="1" a="1"/>
  <c r="U8" i="1" s="1"/>
  <c r="U14" i="1" a="1"/>
  <c r="U14" i="1" s="1"/>
  <c r="U9" i="1" a="1"/>
  <c r="U9" i="1" s="1"/>
  <c r="U10" i="1" a="1"/>
  <c r="U10" i="1" s="1"/>
  <c r="U11" i="1" a="1"/>
  <c r="U11" i="1" s="1"/>
  <c r="U13" i="1" a="1"/>
  <c r="U13" i="1" s="1"/>
  <c r="U24" i="1" a="1"/>
  <c r="U24" i="1" s="1"/>
  <c r="U53" i="1" a="1"/>
  <c r="U53" i="1" s="1"/>
  <c r="U60" i="1" a="1"/>
  <c r="U60" i="1" s="1"/>
  <c r="U61" i="1" a="1"/>
  <c r="U61" i="1" s="1"/>
  <c r="U31" i="1" a="1"/>
  <c r="U31" i="1" s="1"/>
  <c r="U39" i="1" a="1"/>
  <c r="U39" i="1" s="1"/>
  <c r="U33" i="1" a="1"/>
  <c r="U33" i="1" s="1"/>
  <c r="U34" i="1" a="1"/>
  <c r="U34" i="1" s="1"/>
  <c r="U32" i="1" a="1"/>
  <c r="U32" i="1" s="1"/>
  <c r="U38" i="1" a="1"/>
  <c r="U38" i="1" s="1"/>
  <c r="U37" i="1" a="1"/>
  <c r="U37" i="1" s="1"/>
  <c r="U35" i="1" a="1"/>
  <c r="U35" i="1" s="1"/>
  <c r="U36" i="1" a="1"/>
  <c r="U36" i="1" s="1"/>
  <c r="U62" i="1" a="1"/>
  <c r="U62" i="1" s="1"/>
  <c r="U29" i="1" a="1"/>
  <c r="U29" i="1" s="1"/>
  <c r="U49" i="1" a="1"/>
  <c r="U49" i="1" s="1"/>
  <c r="U50" i="1" a="1"/>
  <c r="U50" i="1" s="1"/>
  <c r="U46" i="1" a="1"/>
  <c r="U46" i="1" s="1"/>
  <c r="U51" i="1" a="1"/>
  <c r="U51" i="1" s="1"/>
  <c r="U47" i="1" a="1"/>
  <c r="U47" i="1" s="1"/>
  <c r="U48" i="1" a="1"/>
  <c r="U48" i="1" s="1"/>
  <c r="U52" i="1" a="1"/>
  <c r="U52" i="1" s="1"/>
  <c r="U43" i="1" a="1"/>
  <c r="U43" i="1" s="1"/>
  <c r="U41" i="1" a="1"/>
  <c r="U41" i="1" s="1"/>
  <c r="U42" i="1" a="1"/>
  <c r="U42" i="1" s="1"/>
  <c r="U44" i="1" a="1"/>
  <c r="U44" i="1" s="1"/>
  <c r="U30" i="1" a="1"/>
  <c r="U30" i="1" s="1"/>
  <c r="S46" i="1" a="1"/>
  <c r="S46" i="1" s="1"/>
  <c r="S45" i="1" a="1"/>
  <c r="S45" i="1" s="1"/>
  <c r="S52" i="1" a="1"/>
  <c r="S52" i="1" s="1"/>
  <c r="S48" i="1" a="1"/>
  <c r="S48" i="1" s="1"/>
  <c r="S47" i="1" a="1"/>
  <c r="S47" i="1" s="1"/>
  <c r="S51" i="1" a="1"/>
  <c r="S51" i="1" s="1"/>
  <c r="S49" i="1" a="1"/>
  <c r="S49" i="1" s="1"/>
  <c r="S44" i="1" a="1"/>
  <c r="S44" i="1" s="1"/>
  <c r="S42" i="1" a="1"/>
  <c r="S42" i="1" s="1"/>
  <c r="S41" i="1" a="1"/>
  <c r="S41" i="1" s="1"/>
  <c r="S43" i="1" a="1"/>
  <c r="S43" i="1" s="1"/>
  <c r="S25" i="1" a="1"/>
  <c r="S25" i="1" s="1"/>
  <c r="S24" i="1" a="1"/>
  <c r="S24" i="1" s="1"/>
  <c r="S23" i="1" a="1"/>
  <c r="S23" i="1" s="1"/>
  <c r="S22" i="1" a="1"/>
  <c r="S22" i="1" s="1"/>
  <c r="S16" i="1" a="1"/>
  <c r="S16" i="1" s="1"/>
  <c r="S15" i="1" a="1"/>
  <c r="S15" i="1" s="1"/>
  <c r="S13" i="1" a="1"/>
  <c r="S13" i="1" s="1"/>
  <c r="S11" i="1" a="1"/>
  <c r="S11" i="1" s="1"/>
  <c r="S10" i="1" a="1"/>
  <c r="S10" i="1" s="1"/>
  <c r="S9" i="1" a="1"/>
  <c r="S9" i="1" s="1"/>
  <c r="S14" i="1" a="1"/>
  <c r="S14" i="1" s="1"/>
  <c r="S8" i="1" a="1"/>
  <c r="S8" i="1" s="1"/>
  <c r="S7" i="1" a="1"/>
  <c r="S7" i="1" s="1"/>
  <c r="S6" i="1" a="1"/>
  <c r="S6" i="1" s="1"/>
  <c r="S36" i="1" a="1"/>
  <c r="S36" i="1" s="1"/>
  <c r="S37" i="1" a="1"/>
  <c r="S37" i="1" s="1"/>
  <c r="S62" i="1" a="1"/>
  <c r="S62" i="1" s="1"/>
  <c r="S63" i="1" a="1"/>
  <c r="S63" i="1" s="1"/>
  <c r="S28" i="1" a="1"/>
  <c r="S28" i="1" s="1"/>
  <c r="S27" i="1" a="1"/>
  <c r="S27" i="1" s="1"/>
  <c r="S54" i="1" a="1"/>
  <c r="S54" i="1" s="1"/>
  <c r="S55" i="1" a="1"/>
  <c r="S55" i="1" s="1"/>
  <c r="S19" i="1" a="1"/>
  <c r="S19" i="1" s="1"/>
  <c r="S56" i="1" a="1"/>
  <c r="S56" i="1" s="1"/>
  <c r="S31" i="1" a="1"/>
  <c r="S31" i="1" s="1"/>
  <c r="S4" i="1" a="1"/>
  <c r="S4" i="1" s="1"/>
  <c r="S59" i="1" a="1"/>
  <c r="S59" i="1" s="1"/>
  <c r="S58" i="1" a="1"/>
  <c r="S58" i="1" s="1"/>
  <c r="S57" i="1" a="1"/>
  <c r="S57" i="1" s="1"/>
  <c r="S17" i="1" a="1"/>
  <c r="S17" i="1" s="1"/>
  <c r="S21" i="1" a="1"/>
  <c r="S21" i="1" s="1"/>
  <c r="S20" i="1" a="1"/>
  <c r="S20" i="1" s="1"/>
  <c r="S26" i="1" a="1"/>
  <c r="S26" i="1" s="1"/>
  <c r="S60" i="1" a="1"/>
  <c r="S60" i="1" s="1"/>
  <c r="S61" i="1" a="1"/>
  <c r="S61" i="1" s="1"/>
  <c r="S53" i="1" a="1"/>
  <c r="S53" i="1" s="1"/>
  <c r="S18" i="1" a="1"/>
  <c r="S18" i="1" s="1"/>
  <c r="S40" i="1" a="1"/>
  <c r="S40" i="1" s="1"/>
  <c r="S50" i="1" a="1"/>
  <c r="S50" i="1" s="1"/>
  <c r="S12" i="1" a="1"/>
  <c r="S12" i="1" s="1"/>
  <c r="S5" i="1" a="1"/>
  <c r="S5" i="1" s="1"/>
  <c r="S30" i="1" a="1"/>
  <c r="S30" i="1" s="1"/>
  <c r="S29" i="1" a="1"/>
  <c r="S29" i="1" s="1"/>
  <c r="S35" i="1" a="1"/>
  <c r="S35" i="1" s="1"/>
  <c r="S38" i="1" a="1"/>
  <c r="S38" i="1" s="1"/>
  <c r="S32" i="1" a="1"/>
  <c r="S32" i="1" s="1"/>
  <c r="S34" i="1" a="1"/>
  <c r="S34" i="1" s="1"/>
  <c r="S33" i="1" a="1"/>
  <c r="S33" i="1" s="1"/>
  <c r="S39" i="1" a="1"/>
  <c r="S39" i="1" s="1"/>
  <c r="O41" i="1" a="1"/>
  <c r="O41" i="1" s="1"/>
  <c r="T41" i="1" a="1"/>
  <c r="T41" i="1" s="1"/>
  <c r="Q41" i="1" a="1"/>
  <c r="Q41" i="1" s="1"/>
  <c r="R41" i="1" a="1"/>
  <c r="R41" i="1" s="1"/>
  <c r="V41" i="1" a="1"/>
  <c r="V41" i="1" s="1"/>
  <c r="P41" i="1" a="1"/>
  <c r="P41" i="1" s="1"/>
  <c r="W41" i="1" a="1"/>
  <c r="W41" i="1" s="1"/>
  <c r="X41" i="1" a="1"/>
  <c r="X41" i="1" s="1"/>
  <c r="O42" i="1" a="1"/>
  <c r="O42" i="1" s="1"/>
  <c r="T42" i="1" a="1"/>
  <c r="T42" i="1" s="1"/>
  <c r="Q42" i="1" a="1"/>
  <c r="Q42" i="1" s="1"/>
  <c r="R42" i="1" a="1"/>
  <c r="R42" i="1" s="1"/>
  <c r="V42" i="1" a="1"/>
  <c r="V42" i="1" s="1"/>
  <c r="P42" i="1" a="1"/>
  <c r="P42" i="1" s="1"/>
  <c r="W42" i="1" a="1"/>
  <c r="W42" i="1" s="1"/>
  <c r="X42" i="1" a="1"/>
  <c r="X42" i="1" s="1"/>
  <c r="O43" i="1" a="1"/>
  <c r="O43" i="1" s="1"/>
  <c r="T43" i="1" a="1"/>
  <c r="T43" i="1" s="1"/>
  <c r="Q43" i="1" a="1"/>
  <c r="Q43" i="1" s="1"/>
  <c r="R43" i="1" a="1"/>
  <c r="R43" i="1" s="1"/>
  <c r="V43" i="1" a="1"/>
  <c r="V43" i="1" s="1"/>
  <c r="P43" i="1" a="1"/>
  <c r="P43" i="1" s="1"/>
  <c r="W43" i="1" a="1"/>
  <c r="W43" i="1" s="1"/>
  <c r="X43" i="1" a="1"/>
  <c r="X43" i="1" s="1"/>
  <c r="O44" i="1" a="1"/>
  <c r="O44" i="1" s="1"/>
  <c r="T44" i="1" a="1"/>
  <c r="T44" i="1" s="1"/>
  <c r="Q44" i="1" a="1"/>
  <c r="Q44" i="1" s="1"/>
  <c r="R44" i="1" a="1"/>
  <c r="R44" i="1" s="1"/>
  <c r="V44" i="1" a="1"/>
  <c r="V44" i="1" s="1"/>
  <c r="P44" i="1" a="1"/>
  <c r="P44" i="1" s="1"/>
  <c r="W44" i="1" a="1"/>
  <c r="W44" i="1" s="1"/>
  <c r="X44" i="1" a="1"/>
  <c r="X44" i="1" s="1"/>
  <c r="O45" i="1" a="1"/>
  <c r="O45" i="1" s="1"/>
  <c r="T45" i="1" a="1"/>
  <c r="T45" i="1" s="1"/>
  <c r="Q45" i="1" a="1"/>
  <c r="Q45" i="1" s="1"/>
  <c r="R45" i="1" a="1"/>
  <c r="R45" i="1" s="1"/>
  <c r="V45" i="1" a="1"/>
  <c r="V45" i="1" s="1"/>
  <c r="P45" i="1" a="1"/>
  <c r="P45" i="1" s="1"/>
  <c r="W45" i="1" a="1"/>
  <c r="W45" i="1" s="1"/>
  <c r="X45" i="1" a="1"/>
  <c r="X45" i="1" s="1"/>
  <c r="O46" i="1" a="1"/>
  <c r="O46" i="1" s="1"/>
  <c r="T46" i="1" a="1"/>
  <c r="T46" i="1" s="1"/>
  <c r="Q46" i="1" a="1"/>
  <c r="Q46" i="1" s="1"/>
  <c r="R46" i="1" a="1"/>
  <c r="R46" i="1" s="1"/>
  <c r="V46" i="1" a="1"/>
  <c r="V46" i="1" s="1"/>
  <c r="P46" i="1" a="1"/>
  <c r="P46" i="1" s="1"/>
  <c r="W46" i="1" a="1"/>
  <c r="W46" i="1" s="1"/>
  <c r="X46" i="1" a="1"/>
  <c r="X46" i="1" s="1"/>
  <c r="O47" i="1" a="1"/>
  <c r="O47" i="1" s="1"/>
  <c r="T47" i="1" a="1"/>
  <c r="T47" i="1" s="1"/>
  <c r="Q47" i="1" a="1"/>
  <c r="Q47" i="1" s="1"/>
  <c r="R47" i="1" a="1"/>
  <c r="R47" i="1" s="1"/>
  <c r="V47" i="1" a="1"/>
  <c r="V47" i="1" s="1"/>
  <c r="P47" i="1" a="1"/>
  <c r="P47" i="1" s="1"/>
  <c r="W47" i="1" a="1"/>
  <c r="W47" i="1" s="1"/>
  <c r="X47" i="1" a="1"/>
  <c r="X47" i="1" s="1"/>
  <c r="O48" i="1" a="1"/>
  <c r="O48" i="1" s="1"/>
  <c r="T48" i="1" a="1"/>
  <c r="T48" i="1" s="1"/>
  <c r="Q48" i="1" a="1"/>
  <c r="Q48" i="1" s="1"/>
  <c r="R48" i="1" a="1"/>
  <c r="R48" i="1" s="1"/>
  <c r="V48" i="1" a="1"/>
  <c r="V48" i="1" s="1"/>
  <c r="P48" i="1" a="1"/>
  <c r="P48" i="1" s="1"/>
  <c r="W48" i="1" a="1"/>
  <c r="W48" i="1" s="1"/>
  <c r="X48" i="1" a="1"/>
  <c r="X48" i="1" s="1"/>
  <c r="O49" i="1" a="1"/>
  <c r="O49" i="1" s="1"/>
  <c r="T49" i="1" a="1"/>
  <c r="T49" i="1" s="1"/>
  <c r="Q49" i="1" a="1"/>
  <c r="Q49" i="1" s="1"/>
  <c r="R49" i="1" a="1"/>
  <c r="R49" i="1" s="1"/>
  <c r="V49" i="1" a="1"/>
  <c r="V49" i="1" s="1"/>
  <c r="P49" i="1" a="1"/>
  <c r="P49" i="1" s="1"/>
  <c r="W49" i="1" a="1"/>
  <c r="W49" i="1" s="1"/>
  <c r="X49" i="1" a="1"/>
  <c r="X49" i="1" s="1"/>
  <c r="O50" i="1" a="1"/>
  <c r="O50" i="1" s="1"/>
  <c r="T50" i="1" a="1"/>
  <c r="T50" i="1" s="1"/>
  <c r="Q50" i="1" a="1"/>
  <c r="Q50" i="1" s="1"/>
  <c r="R50" i="1" a="1"/>
  <c r="R50" i="1" s="1"/>
  <c r="V50" i="1" a="1"/>
  <c r="V50" i="1" s="1"/>
  <c r="P50" i="1" a="1"/>
  <c r="P50" i="1" s="1"/>
  <c r="W50" i="1" a="1"/>
  <c r="W50" i="1" s="1"/>
  <c r="X50" i="1" a="1"/>
  <c r="X50" i="1" s="1"/>
  <c r="O51" i="1" a="1"/>
  <c r="O51" i="1" s="1"/>
  <c r="T51" i="1" a="1"/>
  <c r="T51" i="1" s="1"/>
  <c r="Q51" i="1" a="1"/>
  <c r="Q51" i="1" s="1"/>
  <c r="R51" i="1" a="1"/>
  <c r="R51" i="1" s="1"/>
  <c r="V51" i="1" a="1"/>
  <c r="V51" i="1" s="1"/>
  <c r="P51" i="1" a="1"/>
  <c r="P51" i="1" s="1"/>
  <c r="W51" i="1" a="1"/>
  <c r="W51" i="1" s="1"/>
  <c r="X51" i="1" a="1"/>
  <c r="X51" i="1" s="1"/>
  <c r="O52" i="1" a="1"/>
  <c r="O52" i="1" s="1"/>
  <c r="T52" i="1" a="1"/>
  <c r="T52" i="1" s="1"/>
  <c r="Q52" i="1" a="1"/>
  <c r="Q52" i="1" s="1"/>
  <c r="R52" i="1" a="1"/>
  <c r="R52" i="1" s="1"/>
  <c r="V52" i="1" a="1"/>
  <c r="V52" i="1" s="1"/>
  <c r="P52" i="1" a="1"/>
  <c r="P52" i="1" s="1"/>
  <c r="W52" i="1" a="1"/>
  <c r="W52" i="1" s="1"/>
  <c r="X52" i="1" a="1"/>
  <c r="X52" i="1" s="1"/>
  <c r="O53" i="1" a="1"/>
  <c r="O53" i="1" s="1"/>
  <c r="T53" i="1" a="1"/>
  <c r="T53" i="1" s="1"/>
  <c r="Q53" i="1" a="1"/>
  <c r="Q53" i="1" s="1"/>
  <c r="R53" i="1" a="1"/>
  <c r="R53" i="1" s="1"/>
  <c r="V53" i="1" a="1"/>
  <c r="V53" i="1" s="1"/>
  <c r="P53" i="1" a="1"/>
  <c r="P53" i="1" s="1"/>
  <c r="W53" i="1" a="1"/>
  <c r="W53" i="1" s="1"/>
  <c r="X53" i="1" a="1"/>
  <c r="X53" i="1" s="1"/>
  <c r="O54" i="1" a="1"/>
  <c r="O54" i="1" s="1"/>
  <c r="T54" i="1" a="1"/>
  <c r="T54" i="1" s="1"/>
  <c r="Q54" i="1" a="1"/>
  <c r="Q54" i="1" s="1"/>
  <c r="R54" i="1" a="1"/>
  <c r="R54" i="1" s="1"/>
  <c r="V54" i="1" a="1"/>
  <c r="V54" i="1" s="1"/>
  <c r="P54" i="1" a="1"/>
  <c r="P54" i="1" s="1"/>
  <c r="W54" i="1" a="1"/>
  <c r="W54" i="1" s="1"/>
  <c r="X54" i="1" a="1"/>
  <c r="X54" i="1" s="1"/>
  <c r="O55" i="1" a="1"/>
  <c r="O55" i="1" s="1"/>
  <c r="T55" i="1" a="1"/>
  <c r="T55" i="1" s="1"/>
  <c r="Q55" i="1" a="1"/>
  <c r="Q55" i="1" s="1"/>
  <c r="R55" i="1" a="1"/>
  <c r="R55" i="1" s="1"/>
  <c r="V55" i="1" a="1"/>
  <c r="V55" i="1" s="1"/>
  <c r="P55" i="1" a="1"/>
  <c r="P55" i="1" s="1"/>
  <c r="W55" i="1" a="1"/>
  <c r="W55" i="1" s="1"/>
  <c r="X55" i="1" a="1"/>
  <c r="X55" i="1" s="1"/>
  <c r="O56" i="1" a="1"/>
  <c r="O56" i="1" s="1"/>
  <c r="T56" i="1" a="1"/>
  <c r="T56" i="1" s="1"/>
  <c r="Q56" i="1" a="1"/>
  <c r="Q56" i="1" s="1"/>
  <c r="R56" i="1" a="1"/>
  <c r="R56" i="1" s="1"/>
  <c r="V56" i="1" a="1"/>
  <c r="V56" i="1" s="1"/>
  <c r="P56" i="1" a="1"/>
  <c r="P56" i="1" s="1"/>
  <c r="W56" i="1" a="1"/>
  <c r="W56" i="1" s="1"/>
  <c r="X56" i="1" a="1"/>
  <c r="X56" i="1" s="1"/>
  <c r="O57" i="1" a="1"/>
  <c r="O57" i="1" s="1"/>
  <c r="T57" i="1" a="1"/>
  <c r="T57" i="1" s="1"/>
  <c r="Q57" i="1" a="1"/>
  <c r="Q57" i="1" s="1"/>
  <c r="R57" i="1" a="1"/>
  <c r="R57" i="1" s="1"/>
  <c r="V57" i="1" a="1"/>
  <c r="V57" i="1" s="1"/>
  <c r="P57" i="1" a="1"/>
  <c r="P57" i="1" s="1"/>
  <c r="W57" i="1" a="1"/>
  <c r="W57" i="1" s="1"/>
  <c r="X57" i="1" a="1"/>
  <c r="X57" i="1" s="1"/>
  <c r="O58" i="1" a="1"/>
  <c r="O58" i="1" s="1"/>
  <c r="T58" i="1" a="1"/>
  <c r="T58" i="1" s="1"/>
  <c r="Q58" i="1" a="1"/>
  <c r="Q58" i="1" s="1"/>
  <c r="R58" i="1" a="1"/>
  <c r="R58" i="1" s="1"/>
  <c r="V58" i="1" a="1"/>
  <c r="V58" i="1" s="1"/>
  <c r="P58" i="1" a="1"/>
  <c r="P58" i="1" s="1"/>
  <c r="W58" i="1" a="1"/>
  <c r="W58" i="1" s="1"/>
  <c r="X58" i="1" a="1"/>
  <c r="X58" i="1" s="1"/>
  <c r="O59" i="1" a="1"/>
  <c r="O59" i="1" s="1"/>
  <c r="T59" i="1" a="1"/>
  <c r="T59" i="1" s="1"/>
  <c r="Q59" i="1" a="1"/>
  <c r="Q59" i="1" s="1"/>
  <c r="R59" i="1" a="1"/>
  <c r="R59" i="1" s="1"/>
  <c r="V59" i="1" a="1"/>
  <c r="V59" i="1" s="1"/>
  <c r="P59" i="1" a="1"/>
  <c r="P59" i="1" s="1"/>
  <c r="W59" i="1" a="1"/>
  <c r="W59" i="1" s="1"/>
  <c r="X59" i="1" a="1"/>
  <c r="X59" i="1" s="1"/>
  <c r="O60" i="1" a="1"/>
  <c r="O60" i="1" s="1"/>
  <c r="T60" i="1" a="1"/>
  <c r="T60" i="1" s="1"/>
  <c r="Q60" i="1" a="1"/>
  <c r="Q60" i="1" s="1"/>
  <c r="R60" i="1" a="1"/>
  <c r="R60" i="1" s="1"/>
  <c r="V60" i="1" a="1"/>
  <c r="V60" i="1" s="1"/>
  <c r="P60" i="1" a="1"/>
  <c r="P60" i="1" s="1"/>
  <c r="W60" i="1" a="1"/>
  <c r="W60" i="1" s="1"/>
  <c r="X60" i="1" a="1"/>
  <c r="X60" i="1" s="1"/>
  <c r="O61" i="1" a="1"/>
  <c r="O61" i="1" s="1"/>
  <c r="T61" i="1" a="1"/>
  <c r="T61" i="1" s="1"/>
  <c r="Q61" i="1" a="1"/>
  <c r="Q61" i="1" s="1"/>
  <c r="R61" i="1" a="1"/>
  <c r="R61" i="1" s="1"/>
  <c r="V61" i="1" a="1"/>
  <c r="V61" i="1" s="1"/>
  <c r="P61" i="1" a="1"/>
  <c r="P61" i="1" s="1"/>
  <c r="W61" i="1" a="1"/>
  <c r="W61" i="1" s="1"/>
  <c r="X61" i="1" a="1"/>
  <c r="X61" i="1" s="1"/>
  <c r="O62" i="1" a="1"/>
  <c r="O62" i="1" s="1"/>
  <c r="T62" i="1" a="1"/>
  <c r="T62" i="1" s="1"/>
  <c r="Q62" i="1" a="1"/>
  <c r="Q62" i="1" s="1"/>
  <c r="R62" i="1" a="1"/>
  <c r="R62" i="1" s="1"/>
  <c r="V62" i="1" a="1"/>
  <c r="V62" i="1" s="1"/>
  <c r="P62" i="1" a="1"/>
  <c r="P62" i="1" s="1"/>
  <c r="W62" i="1" a="1"/>
  <c r="W62" i="1" s="1"/>
  <c r="X62" i="1" a="1"/>
  <c r="X62" i="1" s="1"/>
  <c r="O63" i="1" a="1"/>
  <c r="O63" i="1" s="1"/>
  <c r="T63" i="1" a="1"/>
  <c r="T63" i="1" s="1"/>
  <c r="Q63" i="1" a="1"/>
  <c r="Q63" i="1" s="1"/>
  <c r="R63" i="1" a="1"/>
  <c r="R63" i="1" s="1"/>
  <c r="V63" i="1" a="1"/>
  <c r="V63" i="1" s="1"/>
  <c r="P63" i="1" a="1"/>
  <c r="P63" i="1" s="1"/>
  <c r="W63" i="1" a="1"/>
  <c r="W63" i="1" s="1"/>
  <c r="X63" i="1" a="1"/>
  <c r="X63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4" i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T4" i="1" a="1"/>
  <c r="T4" i="1" s="1"/>
  <c r="Q4" i="1" a="1"/>
  <c r="Q4" i="1" s="1"/>
  <c r="R4" i="1" a="1"/>
  <c r="R4" i="1" s="1"/>
  <c r="V4" i="1" a="1"/>
  <c r="V4" i="1" s="1"/>
  <c r="P4" i="1" a="1"/>
  <c r="P4" i="1" s="1"/>
  <c r="W4" i="1" a="1"/>
  <c r="W4" i="1" s="1"/>
  <c r="T5" i="1" a="1"/>
  <c r="T5" i="1" s="1"/>
  <c r="Q5" i="1" a="1"/>
  <c r="Q5" i="1" s="1"/>
  <c r="R5" i="1" a="1"/>
  <c r="R5" i="1" s="1"/>
  <c r="V5" i="1" a="1"/>
  <c r="V5" i="1" s="1"/>
  <c r="P5" i="1" a="1"/>
  <c r="P5" i="1" s="1"/>
  <c r="W5" i="1" a="1"/>
  <c r="W5" i="1" s="1"/>
  <c r="T6" i="1" a="1"/>
  <c r="T6" i="1" s="1"/>
  <c r="Q6" i="1" a="1"/>
  <c r="Q6" i="1" s="1"/>
  <c r="R6" i="1" a="1"/>
  <c r="R6" i="1" s="1"/>
  <c r="V6" i="1" a="1"/>
  <c r="V6" i="1" s="1"/>
  <c r="P6" i="1" a="1"/>
  <c r="P6" i="1" s="1"/>
  <c r="W6" i="1" a="1"/>
  <c r="W6" i="1" s="1"/>
  <c r="T7" i="1" a="1"/>
  <c r="T7" i="1" s="1"/>
  <c r="Q7" i="1" a="1"/>
  <c r="Q7" i="1" s="1"/>
  <c r="R7" i="1" a="1"/>
  <c r="R7" i="1" s="1"/>
  <c r="V7" i="1" a="1"/>
  <c r="V7" i="1" s="1"/>
  <c r="P7" i="1" a="1"/>
  <c r="P7" i="1" s="1"/>
  <c r="W7" i="1" a="1"/>
  <c r="W7" i="1" s="1"/>
  <c r="T8" i="1" a="1"/>
  <c r="T8" i="1" s="1"/>
  <c r="Q8" i="1" a="1"/>
  <c r="Q8" i="1" s="1"/>
  <c r="R8" i="1" a="1"/>
  <c r="R8" i="1" s="1"/>
  <c r="V8" i="1" a="1"/>
  <c r="V8" i="1" s="1"/>
  <c r="P8" i="1" a="1"/>
  <c r="P8" i="1" s="1"/>
  <c r="W8" i="1" a="1"/>
  <c r="W8" i="1" s="1"/>
  <c r="T9" i="1" a="1"/>
  <c r="T9" i="1" s="1"/>
  <c r="Q9" i="1" a="1"/>
  <c r="Q9" i="1" s="1"/>
  <c r="R9" i="1" a="1"/>
  <c r="R9" i="1" s="1"/>
  <c r="V9" i="1" a="1"/>
  <c r="V9" i="1" s="1"/>
  <c r="P9" i="1" a="1"/>
  <c r="P9" i="1" s="1"/>
  <c r="W9" i="1" a="1"/>
  <c r="W9" i="1" s="1"/>
  <c r="T10" i="1" a="1"/>
  <c r="T10" i="1" s="1"/>
  <c r="Q10" i="1" a="1"/>
  <c r="Q10" i="1" s="1"/>
  <c r="R10" i="1" a="1"/>
  <c r="R10" i="1" s="1"/>
  <c r="V10" i="1" a="1"/>
  <c r="V10" i="1" s="1"/>
  <c r="P10" i="1" a="1"/>
  <c r="P10" i="1" s="1"/>
  <c r="W10" i="1" a="1"/>
  <c r="W10" i="1" s="1"/>
  <c r="T11" i="1" a="1"/>
  <c r="T11" i="1" s="1"/>
  <c r="Q11" i="1" a="1"/>
  <c r="Q11" i="1" s="1"/>
  <c r="R11" i="1" a="1"/>
  <c r="R11" i="1" s="1"/>
  <c r="V11" i="1" a="1"/>
  <c r="V11" i="1" s="1"/>
  <c r="P11" i="1" a="1"/>
  <c r="P11" i="1" s="1"/>
  <c r="W11" i="1" a="1"/>
  <c r="W11" i="1" s="1"/>
  <c r="T12" i="1" a="1"/>
  <c r="T12" i="1" s="1"/>
  <c r="Q12" i="1" a="1"/>
  <c r="Q12" i="1" s="1"/>
  <c r="R12" i="1" a="1"/>
  <c r="R12" i="1" s="1"/>
  <c r="V12" i="1" a="1"/>
  <c r="V12" i="1" s="1"/>
  <c r="P12" i="1" a="1"/>
  <c r="P12" i="1" s="1"/>
  <c r="W12" i="1" a="1"/>
  <c r="W12" i="1" s="1"/>
  <c r="T13" i="1" a="1"/>
  <c r="T13" i="1" s="1"/>
  <c r="Q13" i="1" a="1"/>
  <c r="Q13" i="1" s="1"/>
  <c r="R13" i="1" a="1"/>
  <c r="R13" i="1" s="1"/>
  <c r="V13" i="1" a="1"/>
  <c r="V13" i="1" s="1"/>
  <c r="P13" i="1" a="1"/>
  <c r="P13" i="1" s="1"/>
  <c r="W13" i="1" a="1"/>
  <c r="W13" i="1" s="1"/>
  <c r="T14" i="1" a="1"/>
  <c r="T14" i="1" s="1"/>
  <c r="Q14" i="1" a="1"/>
  <c r="Q14" i="1" s="1"/>
  <c r="R14" i="1" a="1"/>
  <c r="R14" i="1" s="1"/>
  <c r="V14" i="1" a="1"/>
  <c r="V14" i="1" s="1"/>
  <c r="P14" i="1" a="1"/>
  <c r="P14" i="1" s="1"/>
  <c r="W14" i="1" a="1"/>
  <c r="W14" i="1" s="1"/>
  <c r="T15" i="1" a="1"/>
  <c r="T15" i="1" s="1"/>
  <c r="Q15" i="1" a="1"/>
  <c r="Q15" i="1" s="1"/>
  <c r="R15" i="1" a="1"/>
  <c r="R15" i="1" s="1"/>
  <c r="V15" i="1" a="1"/>
  <c r="V15" i="1" s="1"/>
  <c r="P15" i="1" a="1"/>
  <c r="P15" i="1" s="1"/>
  <c r="W15" i="1" a="1"/>
  <c r="W15" i="1" s="1"/>
  <c r="T16" i="1" a="1"/>
  <c r="T16" i="1" s="1"/>
  <c r="Q16" i="1" a="1"/>
  <c r="Q16" i="1" s="1"/>
  <c r="R16" i="1" a="1"/>
  <c r="R16" i="1" s="1"/>
  <c r="V16" i="1" a="1"/>
  <c r="V16" i="1" s="1"/>
  <c r="P16" i="1" a="1"/>
  <c r="P16" i="1" s="1"/>
  <c r="W16" i="1" a="1"/>
  <c r="W16" i="1" s="1"/>
  <c r="T17" i="1" a="1"/>
  <c r="T17" i="1" s="1"/>
  <c r="Q17" i="1" a="1"/>
  <c r="Q17" i="1" s="1"/>
  <c r="R17" i="1" a="1"/>
  <c r="R17" i="1" s="1"/>
  <c r="V17" i="1" a="1"/>
  <c r="V17" i="1" s="1"/>
  <c r="P17" i="1" a="1"/>
  <c r="P17" i="1" s="1"/>
  <c r="W17" i="1" a="1"/>
  <c r="W17" i="1" s="1"/>
  <c r="T18" i="1" a="1"/>
  <c r="T18" i="1" s="1"/>
  <c r="Q18" i="1" a="1"/>
  <c r="Q18" i="1" s="1"/>
  <c r="R18" i="1" a="1"/>
  <c r="R18" i="1" s="1"/>
  <c r="V18" i="1" a="1"/>
  <c r="V18" i="1" s="1"/>
  <c r="P18" i="1" a="1"/>
  <c r="P18" i="1" s="1"/>
  <c r="W18" i="1" a="1"/>
  <c r="W18" i="1" s="1"/>
  <c r="T19" i="1" a="1"/>
  <c r="T19" i="1" s="1"/>
  <c r="Q19" i="1" a="1"/>
  <c r="Q19" i="1" s="1"/>
  <c r="R19" i="1" a="1"/>
  <c r="R19" i="1" s="1"/>
  <c r="V19" i="1" a="1"/>
  <c r="V19" i="1" s="1"/>
  <c r="P19" i="1" a="1"/>
  <c r="P19" i="1" s="1"/>
  <c r="W19" i="1" a="1"/>
  <c r="W19" i="1" s="1"/>
  <c r="T20" i="1" a="1"/>
  <c r="T20" i="1" s="1"/>
  <c r="Q20" i="1" a="1"/>
  <c r="Q20" i="1" s="1"/>
  <c r="R20" i="1" a="1"/>
  <c r="R20" i="1" s="1"/>
  <c r="V20" i="1" a="1"/>
  <c r="V20" i="1" s="1"/>
  <c r="P20" i="1" a="1"/>
  <c r="P20" i="1" s="1"/>
  <c r="W20" i="1" a="1"/>
  <c r="W20" i="1" s="1"/>
  <c r="T21" i="1" a="1"/>
  <c r="T21" i="1" s="1"/>
  <c r="Q21" i="1" a="1"/>
  <c r="Q21" i="1" s="1"/>
  <c r="R21" i="1" a="1"/>
  <c r="R21" i="1" s="1"/>
  <c r="V21" i="1" a="1"/>
  <c r="V21" i="1" s="1"/>
  <c r="P21" i="1" a="1"/>
  <c r="P21" i="1" s="1"/>
  <c r="W21" i="1" a="1"/>
  <c r="W21" i="1" s="1"/>
  <c r="T22" i="1" a="1"/>
  <c r="T22" i="1" s="1"/>
  <c r="Q22" i="1" a="1"/>
  <c r="Q22" i="1" s="1"/>
  <c r="R22" i="1" a="1"/>
  <c r="R22" i="1" s="1"/>
  <c r="V22" i="1" a="1"/>
  <c r="V22" i="1" s="1"/>
  <c r="P22" i="1" a="1"/>
  <c r="P22" i="1" s="1"/>
  <c r="W22" i="1" a="1"/>
  <c r="W22" i="1" s="1"/>
  <c r="T23" i="1" a="1"/>
  <c r="T23" i="1" s="1"/>
  <c r="Q23" i="1" a="1"/>
  <c r="Q23" i="1" s="1"/>
  <c r="R23" i="1" a="1"/>
  <c r="R23" i="1" s="1"/>
  <c r="V23" i="1" a="1"/>
  <c r="V23" i="1" s="1"/>
  <c r="P23" i="1" a="1"/>
  <c r="P23" i="1" s="1"/>
  <c r="W23" i="1" a="1"/>
  <c r="W23" i="1" s="1"/>
  <c r="T24" i="1" a="1"/>
  <c r="T24" i="1" s="1"/>
  <c r="Q24" i="1" a="1"/>
  <c r="Q24" i="1" s="1"/>
  <c r="R24" i="1" a="1"/>
  <c r="R24" i="1" s="1"/>
  <c r="V24" i="1" a="1"/>
  <c r="V24" i="1" s="1"/>
  <c r="P24" i="1" a="1"/>
  <c r="P24" i="1" s="1"/>
  <c r="W24" i="1" a="1"/>
  <c r="W24" i="1" s="1"/>
  <c r="T25" i="1" a="1"/>
  <c r="T25" i="1" s="1"/>
  <c r="Q25" i="1" a="1"/>
  <c r="Q25" i="1" s="1"/>
  <c r="R25" i="1" a="1"/>
  <c r="R25" i="1" s="1"/>
  <c r="V25" i="1" a="1"/>
  <c r="V25" i="1" s="1"/>
  <c r="P25" i="1" a="1"/>
  <c r="P25" i="1" s="1"/>
  <c r="W25" i="1" a="1"/>
  <c r="W25" i="1" s="1"/>
  <c r="T26" i="1" a="1"/>
  <c r="T26" i="1" s="1"/>
  <c r="Q26" i="1" a="1"/>
  <c r="Q26" i="1" s="1"/>
  <c r="R26" i="1" a="1"/>
  <c r="R26" i="1" s="1"/>
  <c r="V26" i="1" a="1"/>
  <c r="V26" i="1" s="1"/>
  <c r="P26" i="1" a="1"/>
  <c r="P26" i="1" s="1"/>
  <c r="W26" i="1" a="1"/>
  <c r="W26" i="1" s="1"/>
  <c r="T27" i="1" a="1"/>
  <c r="T27" i="1" s="1"/>
  <c r="Q27" i="1" a="1"/>
  <c r="Q27" i="1" s="1"/>
  <c r="R27" i="1" a="1"/>
  <c r="R27" i="1" s="1"/>
  <c r="V27" i="1" a="1"/>
  <c r="V27" i="1" s="1"/>
  <c r="P27" i="1" a="1"/>
  <c r="P27" i="1" s="1"/>
  <c r="W27" i="1" a="1"/>
  <c r="W27" i="1" s="1"/>
  <c r="T28" i="1" a="1"/>
  <c r="T28" i="1" s="1"/>
  <c r="Q28" i="1" a="1"/>
  <c r="Q28" i="1" s="1"/>
  <c r="R28" i="1" a="1"/>
  <c r="R28" i="1" s="1"/>
  <c r="V28" i="1" a="1"/>
  <c r="V28" i="1" s="1"/>
  <c r="P28" i="1" a="1"/>
  <c r="P28" i="1" s="1"/>
  <c r="W28" i="1" a="1"/>
  <c r="W28" i="1" s="1"/>
  <c r="T29" i="1" a="1"/>
  <c r="T29" i="1" s="1"/>
  <c r="Q29" i="1" a="1"/>
  <c r="Q29" i="1" s="1"/>
  <c r="R29" i="1" a="1"/>
  <c r="R29" i="1" s="1"/>
  <c r="V29" i="1" a="1"/>
  <c r="V29" i="1" s="1"/>
  <c r="P29" i="1" a="1"/>
  <c r="P29" i="1" s="1"/>
  <c r="W29" i="1" a="1"/>
  <c r="W29" i="1" s="1"/>
  <c r="T30" i="1" a="1"/>
  <c r="T30" i="1" s="1"/>
  <c r="Q30" i="1" a="1"/>
  <c r="Q30" i="1" s="1"/>
  <c r="R30" i="1" a="1"/>
  <c r="R30" i="1" s="1"/>
  <c r="V30" i="1" a="1"/>
  <c r="V30" i="1" s="1"/>
  <c r="P30" i="1" a="1"/>
  <c r="P30" i="1" s="1"/>
  <c r="W30" i="1" a="1"/>
  <c r="W30" i="1" s="1"/>
  <c r="T31" i="1" a="1"/>
  <c r="T31" i="1" s="1"/>
  <c r="Q31" i="1" a="1"/>
  <c r="Q31" i="1" s="1"/>
  <c r="R31" i="1" a="1"/>
  <c r="R31" i="1" s="1"/>
  <c r="V31" i="1" a="1"/>
  <c r="V31" i="1" s="1"/>
  <c r="P31" i="1" a="1"/>
  <c r="P31" i="1" s="1"/>
  <c r="W31" i="1" a="1"/>
  <c r="W31" i="1" s="1"/>
  <c r="T32" i="1" a="1"/>
  <c r="T32" i="1" s="1"/>
  <c r="Q32" i="1" a="1"/>
  <c r="Q32" i="1" s="1"/>
  <c r="R32" i="1" a="1"/>
  <c r="R32" i="1" s="1"/>
  <c r="V32" i="1" a="1"/>
  <c r="V32" i="1" s="1"/>
  <c r="P32" i="1" a="1"/>
  <c r="P32" i="1" s="1"/>
  <c r="W32" i="1" a="1"/>
  <c r="W32" i="1" s="1"/>
  <c r="T33" i="1" a="1"/>
  <c r="T33" i="1" s="1"/>
  <c r="Q33" i="1" a="1"/>
  <c r="Q33" i="1" s="1"/>
  <c r="R33" i="1" a="1"/>
  <c r="R33" i="1" s="1"/>
  <c r="V33" i="1" a="1"/>
  <c r="V33" i="1" s="1"/>
  <c r="P33" i="1" a="1"/>
  <c r="P33" i="1" s="1"/>
  <c r="W33" i="1" a="1"/>
  <c r="W33" i="1" s="1"/>
  <c r="T34" i="1" a="1"/>
  <c r="T34" i="1" s="1"/>
  <c r="Q34" i="1" a="1"/>
  <c r="Q34" i="1" s="1"/>
  <c r="R34" i="1" a="1"/>
  <c r="R34" i="1" s="1"/>
  <c r="V34" i="1" a="1"/>
  <c r="V34" i="1" s="1"/>
  <c r="P34" i="1" a="1"/>
  <c r="P34" i="1" s="1"/>
  <c r="W34" i="1" a="1"/>
  <c r="W34" i="1" s="1"/>
  <c r="T35" i="1" a="1"/>
  <c r="T35" i="1" s="1"/>
  <c r="Q35" i="1" a="1"/>
  <c r="Q35" i="1" s="1"/>
  <c r="R35" i="1" a="1"/>
  <c r="R35" i="1" s="1"/>
  <c r="V35" i="1" a="1"/>
  <c r="V35" i="1" s="1"/>
  <c r="P35" i="1" a="1"/>
  <c r="P35" i="1" s="1"/>
  <c r="W35" i="1" a="1"/>
  <c r="W35" i="1" s="1"/>
  <c r="T36" i="1" a="1"/>
  <c r="T36" i="1" s="1"/>
  <c r="Q36" i="1" a="1"/>
  <c r="Q36" i="1" s="1"/>
  <c r="R36" i="1" a="1"/>
  <c r="R36" i="1" s="1"/>
  <c r="V36" i="1" a="1"/>
  <c r="V36" i="1" s="1"/>
  <c r="P36" i="1" a="1"/>
  <c r="P36" i="1" s="1"/>
  <c r="W36" i="1" a="1"/>
  <c r="W36" i="1" s="1"/>
  <c r="T37" i="1" a="1"/>
  <c r="T37" i="1" s="1"/>
  <c r="Q37" i="1" a="1"/>
  <c r="Q37" i="1" s="1"/>
  <c r="R37" i="1" a="1"/>
  <c r="R37" i="1" s="1"/>
  <c r="V37" i="1" a="1"/>
  <c r="V37" i="1" s="1"/>
  <c r="P37" i="1" a="1"/>
  <c r="P37" i="1" s="1"/>
  <c r="W37" i="1" a="1"/>
  <c r="W37" i="1" s="1"/>
  <c r="T38" i="1" a="1"/>
  <c r="T38" i="1" s="1"/>
  <c r="Q38" i="1" a="1"/>
  <c r="Q38" i="1" s="1"/>
  <c r="R38" i="1" a="1"/>
  <c r="R38" i="1" s="1"/>
  <c r="V38" i="1" a="1"/>
  <c r="V38" i="1" s="1"/>
  <c r="P38" i="1" a="1"/>
  <c r="P38" i="1" s="1"/>
  <c r="W38" i="1" a="1"/>
  <c r="W38" i="1" s="1"/>
  <c r="T39" i="1" a="1"/>
  <c r="T39" i="1" s="1"/>
  <c r="Q39" i="1" a="1"/>
  <c r="Q39" i="1" s="1"/>
  <c r="R39" i="1" a="1"/>
  <c r="R39" i="1" s="1"/>
  <c r="V39" i="1" a="1"/>
  <c r="V39" i="1" s="1"/>
  <c r="P39" i="1" a="1"/>
  <c r="P39" i="1" s="1"/>
  <c r="W39" i="1" a="1"/>
  <c r="W39" i="1" s="1"/>
  <c r="T40" i="1" a="1"/>
  <c r="T40" i="1" s="1"/>
  <c r="Q40" i="1" a="1"/>
  <c r="Q40" i="1" s="1"/>
  <c r="R40" i="1" a="1"/>
  <c r="R40" i="1" s="1"/>
  <c r="V40" i="1" a="1"/>
  <c r="V40" i="1" s="1"/>
  <c r="P40" i="1" a="1"/>
  <c r="P40" i="1" s="1"/>
  <c r="W40" i="1" a="1"/>
  <c r="W40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" i="1" a="1"/>
  <c r="O4" i="1" s="1"/>
  <c r="U1" i="1" l="1"/>
  <c r="U2" i="1" a="1"/>
  <c r="U2" i="1" s="1"/>
  <c r="S2" i="1" a="1"/>
  <c r="S2" i="1" s="1"/>
  <c r="S1" i="1"/>
  <c r="X2" i="1" a="1"/>
  <c r="X2" i="1" s="1"/>
  <c r="T2" i="1" a="1"/>
  <c r="T2" i="1" s="1"/>
  <c r="W2" i="1" a="1"/>
  <c r="W2" i="1" s="1"/>
  <c r="O2" i="1" a="1"/>
  <c r="O2" i="1" s="1"/>
  <c r="P2" i="1" a="1"/>
  <c r="P2" i="1" s="1"/>
  <c r="V2" i="1" a="1"/>
  <c r="V2" i="1" s="1"/>
  <c r="R2" i="1" a="1"/>
  <c r="R2" i="1" s="1"/>
  <c r="Q2" i="1" a="1"/>
  <c r="Q2" i="1" s="1"/>
  <c r="O1" i="1"/>
  <c r="P1" i="1"/>
  <c r="W1" i="1"/>
  <c r="V1" i="1"/>
  <c r="R1" i="1"/>
  <c r="X1" i="1"/>
  <c r="Q1" i="1"/>
  <c r="T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<sst xmlns="http://schemas.openxmlformats.org/spreadsheetml/2006/main" count="589" uniqueCount="248">
  <si>
    <t>넘버</t>
  </si>
  <si>
    <t>경번호</t>
  </si>
  <si>
    <t>저역자</t>
  </si>
  <si>
    <t>연대</t>
  </si>
  <si>
    <t>경 이름</t>
  </si>
  <si>
    <t>개수</t>
  </si>
  <si>
    <t>행 번호</t>
  </si>
  <si>
    <t>T0268</t>
  </si>
  <si>
    <t>宋 智嚴譯</t>
  </si>
  <si>
    <t>427~427</t>
  </si>
  <si>
    <t>佛說廣博嚴淨不退轉輪經</t>
  </si>
  <si>
    <t>T0278</t>
  </si>
  <si>
    <t>東晉 佛馱跋陀羅譯</t>
  </si>
  <si>
    <t>418~420</t>
  </si>
  <si>
    <t>大方廣佛華嚴經</t>
  </si>
  <si>
    <t>비유</t>
  </si>
  <si>
    <t>《大方廣佛華嚴經》卷31：「一切諸佛，智慧分別一切法界如因陀羅網，悉無有餘。」(CBETA 2026.R1, T09, no. 278, p. 597c23-24)</t>
  </si>
  <si>
    <t>《大方廣佛華嚴經》卷48：「入因陀羅網陀羅尼門」(CBETA 2026.R1, T09, no. 278, p. 703a23-24)</t>
  </si>
  <si>
    <t>《大方廣佛華嚴經》卷59：「菩提心者，則為因陀羅網，攝諸煩惱阿修羅故」(CBETA 2026.R1, T09, no. 278, p. 776c19-20)</t>
  </si>
  <si>
    <t>T0286</t>
  </si>
  <si>
    <t>姚秦 鳩摩羅什譯</t>
  </si>
  <si>
    <t>402~412</t>
  </si>
  <si>
    <t>T0288</t>
  </si>
  <si>
    <t>西晉 竺法護譯</t>
  </si>
  <si>
    <t>266~313</t>
  </si>
  <si>
    <t>帝父=帝網으로 가정.</t>
  </si>
  <si>
    <t>T0397</t>
  </si>
  <si>
    <t>北涼 曇無讖譯</t>
  </si>
  <si>
    <t>414~426</t>
  </si>
  <si>
    <t>大方等大集經</t>
  </si>
  <si>
    <t>T0440</t>
  </si>
  <si>
    <t>元魏 菩提流支譯</t>
  </si>
  <si>
    <t>520~524</t>
  </si>
  <si>
    <t>佛說佛名經</t>
  </si>
  <si>
    <t>《佛說佛名經》卷12：「南無因陀羅網菩薩」(CBETA 2026.R1, T14, no. 440, p. 183b1-2)</t>
  </si>
  <si>
    <t>T0475</t>
  </si>
  <si>
    <t>406~406</t>
  </si>
  <si>
    <t>維摩詰所說經</t>
  </si>
  <si>
    <t>《維摩詰所說經》卷1：「帝網菩薩」(CBETA 2026.R1, T14, no. 475, p. 537b8)</t>
  </si>
  <si>
    <t>T0670</t>
  </si>
  <si>
    <t>劉宋 求那跋陀羅譯</t>
  </si>
  <si>
    <t>443~443</t>
  </si>
  <si>
    <t>楞伽阿跋多羅寶經</t>
  </si>
  <si>
    <t>T0671</t>
  </si>
  <si>
    <t>513~513</t>
  </si>
  <si>
    <t>入楞伽經</t>
  </si>
  <si>
    <t>T1521</t>
  </si>
  <si>
    <t>聖者龍樹造 後秦 鳩摩羅什譯</t>
  </si>
  <si>
    <t>十住毘婆沙論</t>
  </si>
  <si>
    <t>《十住毘婆沙論》卷5：「帝網菩薩」(CBETA 2026.R1, T26, no. 1521, p. 45a8)</t>
  </si>
  <si>
    <t>《十住毘婆沙論》卷5：「帝網菩薩」(CBETA 2026.R1, T26, no. 1521, p. 45a15)</t>
  </si>
  <si>
    <t>T1522</t>
  </si>
  <si>
    <t>天親菩薩造 後魏 菩提流支等譯</t>
  </si>
  <si>
    <t>508~508</t>
  </si>
  <si>
    <t>十地經論</t>
  </si>
  <si>
    <t>T1660</t>
  </si>
  <si>
    <t>龍樹本 自在比丘釋 隋 達磨笈多譯</t>
  </si>
  <si>
    <t>605~616</t>
  </si>
  <si>
    <t>《菩提資糧論》卷2：「無餘諸世界曠大無量，若細若麁、若橫若倒、若平住等，同入共居，順去十方分分猶如帝網，入於分分以智順行，是第六大願。」(CBETA 2026.R1, T32, no. 1660, p. 524a9-12)</t>
  </si>
  <si>
    <t>T1775</t>
  </si>
  <si>
    <t>後秦 僧肇撰</t>
  </si>
  <si>
    <t>384~414</t>
  </si>
  <si>
    <t>注維摩詰經</t>
  </si>
  <si>
    <t>T1781</t>
  </si>
  <si>
    <t>隋 吉藏撰</t>
  </si>
  <si>
    <t>549~623</t>
  </si>
  <si>
    <t>維摩經義疏</t>
  </si>
  <si>
    <t>T1811</t>
  </si>
  <si>
    <t>隋 智顗說 灌頂記</t>
  </si>
  <si>
    <t>538~567</t>
  </si>
  <si>
    <t>菩薩戒義疏</t>
  </si>
  <si>
    <t>T1851</t>
  </si>
  <si>
    <t>隋 慧遠撰</t>
  </si>
  <si>
    <t>523~592</t>
  </si>
  <si>
    <t>大乘義章</t>
  </si>
  <si>
    <t>《大乘義章》卷19：「法性土者。土之本性。諸義同體。虛融無礙。猶如帝網。亦如虛空無礙不動無所有等。同體義分。地經所說真實義相。即其義也。一切世界本性恒爾。而諸眾生妄想覆心。自累成隔。無礙法中。見為定礙。有處定有。無處定無。染處定染。淨處定淨。地處定地。水處定水。如是一切。後息妄想。彼土實性。顯成我用。名法性土。」(CBETA 2026.R1, T44, no. 1851, p. 835b16-23)</t>
  </si>
  <si>
    <t>T1924</t>
  </si>
  <si>
    <t>陳 慧思說</t>
  </si>
  <si>
    <t>515~577</t>
  </si>
  <si>
    <t>大乘止觀法門</t>
  </si>
  <si>
    <t>X0338</t>
  </si>
  <si>
    <t>隋 智顗撰</t>
  </si>
  <si>
    <t>581~618</t>
  </si>
  <si>
    <t>維摩經文疏</t>
  </si>
  <si>
    <t>《維摩經文疏》卷1：「若圓教義，初住已上，生實報土，出何經說？答：《仁王般若經》云「三賢、十聖住果報」，當知以果報為土也。《法華經》云「又此娑婆世界，坦然平正，其諸菩薩咸處其中」，《大智論》云「法性身佛，為法身菩薩說法，其國無聲聞、辟支佛之名」，《華嚴經》明因陀羅網世界，《攝大乘論》明華王世界，如此經論皆明果報土無障礙相也。」(CBETA 2026.R1, X18, no. 338, pp. 466c19-467a1)</t>
  </si>
  <si>
    <t>《維摩經文疏》卷4：「帝網菩薩、譬如帝王法網無量，一心三觀觀三諦理，具足無量諸法之網，網一切煩惱及眾生。」(CBETA 2026.R1, X18, no. 338, p. 490b15-17)</t>
  </si>
  <si>
    <t>《維摩經文疏》卷8：「正報既淨，依報亦淨，同諸佛、等如來、見法性，居因陀羅網，分入寂光，豈非「佛土淨」！」(CBETA 2026.R1, X18, no. 338, p. 515a24-b2)</t>
  </si>
  <si>
    <t>X0351</t>
  </si>
  <si>
    <t>勝鬘經義記</t>
  </si>
  <si>
    <t>X0753</t>
  </si>
  <si>
    <t>十地經論義記</t>
  </si>
  <si>
    <t>《佛說廣博嚴淨不退轉輪經》卷1：「因陀羅網寶為鬚」(CBETA 2026.R1, T09, no. 268, p. 254c21-22)</t>
  </si>
  <si>
    <r>
      <t>《大方廣佛華嚴經》卷48：「不可說不可說菩薩行悉現在前，一切諸行皆悉</t>
    </r>
    <r>
      <rPr>
        <sz val="11"/>
        <color theme="1"/>
        <rFont val="Noto Sans KR"/>
        <family val="3"/>
        <charset val="129"/>
      </rPr>
      <t>清</t>
    </r>
    <r>
      <rPr>
        <sz val="11"/>
        <color theme="1"/>
        <rFont val="맑은 고딕"/>
        <family val="3"/>
        <charset val="129"/>
        <scheme val="minor"/>
      </rPr>
      <t>淨，滿足菩薩因陀羅網行願力故」(CBETA 2026.R1, T09, no. 278, p. 704a22-24)</t>
    </r>
    <phoneticPr fontId="18" type="noConversion"/>
  </si>
  <si>
    <t>지시</t>
  </si>
  <si>
    <t>관계</t>
  </si>
  <si>
    <t>풀이</t>
  </si>
  <si>
    <t>《維摩經文疏》卷1：「三、「無障礙色、有障礙見」，即是因陀羅網世界，染淨、有餘二種眾生見有障礙國也。」(CBETA 2026.R1, X18, no. 338, p. 468a1-2)</t>
    <phoneticPr fontId="18" type="noConversion"/>
  </si>
  <si>
    <t>《大方廣佛華嚴經》卷45：「因陀羅網攝眾生界，諸願精進住持三昧」(CBETA 2026.R1, T09, no. 278, p. 685a1-2)</t>
    <phoneticPr fontId="18" type="noConversion"/>
  </si>
  <si>
    <r>
      <t>《等目菩薩所問三昧經》卷1：「等目菩薩幻事品第四「譬如族姓子！幻名帝父。帝界所行，其有善學行此幻者，明曉術已，於四幻道，現此帝父大幻之事。普眾咸住，共觀視之，諸天都聚，在于一處，現一日七日、半月一月、一歲百歲；復現城</t>
    </r>
    <r>
      <rPr>
        <sz val="11"/>
        <color theme="1"/>
        <rFont val="Microsoft JhengHei"/>
        <family val="2"/>
        <charset val="136"/>
      </rPr>
      <t>墎</t>
    </r>
    <r>
      <rPr>
        <sz val="11"/>
        <color theme="1"/>
        <rFont val="맑은 고딕"/>
        <family val="3"/>
        <charset val="129"/>
        <scheme val="minor"/>
      </rPr>
      <t>、縣邑聚落；復現江湖淵海、河流諸水，現雲興雨，作此大變。現嚴諸土，不以所現，與歲月諍</t>
    </r>
    <r>
      <rPr>
        <sz val="11"/>
        <color theme="1"/>
        <rFont val="Noto Sans KR"/>
        <family val="3"/>
        <charset val="129"/>
      </rPr>
      <t>毀</t>
    </r>
    <r>
      <rPr>
        <sz val="11"/>
        <color theme="1"/>
        <rFont val="맑은 고딕"/>
        <family val="3"/>
        <charset val="129"/>
        <scheme val="minor"/>
      </rPr>
      <t>。所現幻化，興天歡樂，而於幻體，亦無所損；諸天見之，亦無疑怪。是菩薩大士之等，以此大定而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正受，於一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土現無數土，有其諸大，地水火風。如海寶山，及須彌山，鐵圍山、大鐵圍山，盡人境界，城</t>
    </r>
    <r>
      <rPr>
        <sz val="11"/>
        <color theme="1"/>
        <rFont val="Microsoft JhengHei"/>
        <family val="2"/>
        <charset val="136"/>
      </rPr>
      <t>墎</t>
    </r>
    <r>
      <rPr>
        <sz val="11"/>
        <color theme="1"/>
        <rFont val="맑은 고딕"/>
        <family val="3"/>
        <charset val="129"/>
        <scheme val="minor"/>
      </rPr>
      <t>縣邑，及諸聚落，像天宮殿。諸龍宮室，眾神所處，香神所居，水神所遊，癭神所之，伎神所樂，恬神所安；又像極世諸所宮殿，及欲色界，至無色界；又小千土中千土、三千大千土，有罪無福，一切眾類，轉身生死，明達盡之。於彼等念，入以明慧，審見無見；於諸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土，不有疲勞，棄此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勞，不有斯勞。棄諸土行，無土無行。所以者何？伏入法故。「又彼菩薩於諸法入無著法；於諸法界，不想有念，空無所行；於諸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土，不想空行；於諸受身，亦無壽行，因緣諸法，如審諦見，亦無命行；於諸起滅，化轉以法；於化無化，菩薩以法，具願入故；菩薩行寂，諸法靜故；菩薩行化，不想化故；普度眾生，等如來法之</t>
    </r>
    <r>
      <rPr>
        <sz val="11"/>
        <color theme="1"/>
        <rFont val="Noto Sans KR"/>
        <family val="3"/>
        <charset val="129"/>
      </rPr>
      <t>清</t>
    </r>
    <r>
      <rPr>
        <sz val="11"/>
        <color theme="1"/>
        <rFont val="맑은 고딕"/>
        <family val="3"/>
        <charset val="129"/>
        <scheme val="minor"/>
      </rPr>
      <t>淨故；菩薩法界行無思議，法無取故；菩薩行悲，普悉善權化眾生故。菩薩如是處于一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，明無數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所住行處；了無數類眾生身行。現于無數菩薩修立，念于無數佛之興顯，受諸如來平等正覺法要之說。「於彼自修菩薩行；於此寂沒，而彼等現；於彼寂沒，忽此等現。行不</t>
    </r>
    <r>
      <rPr>
        <sz val="11"/>
        <color theme="1"/>
        <rFont val="Noto Sans KR"/>
        <family val="3"/>
        <charset val="129"/>
      </rPr>
      <t>毀</t>
    </r>
    <r>
      <rPr>
        <sz val="11"/>
        <color theme="1"/>
        <rFont val="맑은 고딕"/>
        <family val="3"/>
        <charset val="129"/>
        <scheme val="minor"/>
      </rPr>
      <t>吾，入于法界，明入寂靜，憶念于慧，以益於冥。如彼幻師住于此地而現幻化，不以現幻有損於地，所現幻事依因於地。幻不念晝夜、不壞時節！菩薩如是，以無</t>
    </r>
    <r>
      <rPr>
        <sz val="11"/>
        <color theme="1"/>
        <rFont val="Microsoft JhengHei"/>
        <family val="2"/>
        <charset val="136"/>
      </rPr>
      <t>剎</t>
    </r>
    <r>
      <rPr>
        <sz val="11"/>
        <color theme="1"/>
        <rFont val="맑은 고딕"/>
        <family val="3"/>
        <charset val="129"/>
        <scheme val="minor"/>
      </rPr>
      <t>界而入于土；以無國土明了於國；又以國土而曉無國；以無色處現住于色。不以一而</t>
    </r>
    <r>
      <rPr>
        <sz val="11"/>
        <color theme="1"/>
        <rFont val="Noto Sans KR"/>
        <family val="3"/>
        <charset val="129"/>
      </rPr>
      <t>毀</t>
    </r>
    <r>
      <rPr>
        <sz val="11"/>
        <color theme="1"/>
        <rFont val="맑은 고딕"/>
        <family val="3"/>
        <charset val="129"/>
        <scheme val="minor"/>
      </rPr>
      <t>於二；亦不以二而</t>
    </r>
    <r>
      <rPr>
        <sz val="11"/>
        <color theme="1"/>
        <rFont val="Noto Sans KR"/>
        <family val="3"/>
        <charset val="129"/>
      </rPr>
      <t>毀</t>
    </r>
    <r>
      <rPr>
        <sz val="11"/>
        <color theme="1"/>
        <rFont val="맑은 고딕"/>
        <family val="3"/>
        <charset val="129"/>
        <scheme val="minor"/>
      </rPr>
      <t>於一。譬如幻名解普土法，入于法幻，明入慧幻；已入慧幻，曉入行幻；已入行幻，而興慧幻，而以慧幻，了別諸行。如彼幻士，不於地外而現其幻，亦不在眾觀人之外。菩薩如是！不以虛空入諸國土；不以土外而入虛空。所以者何？土入虛空而無</t>
    </r>
    <r>
      <rPr>
        <sz val="11"/>
        <color theme="1"/>
        <rFont val="Noto Sans KR"/>
        <family val="3"/>
        <charset val="129"/>
      </rPr>
      <t>毀</t>
    </r>
    <r>
      <rPr>
        <sz val="11"/>
        <color theme="1"/>
        <rFont val="맑은 고딕"/>
        <family val="3"/>
        <charset val="129"/>
        <scheme val="minor"/>
      </rPr>
      <t>故，能入國土則入虛空。「是彼菩薩普嚴莊</t>
    </r>
    <r>
      <rPr>
        <sz val="11"/>
        <color theme="1"/>
        <rFont val="Yu Gothic"/>
        <family val="2"/>
        <charset val="128"/>
      </rPr>
      <t>挍</t>
    </r>
    <r>
      <rPr>
        <sz val="11"/>
        <color theme="1"/>
        <rFont val="맑은 고딕"/>
        <family val="3"/>
        <charset val="129"/>
        <scheme val="minor"/>
      </rPr>
      <t>，以土境界入文諸行。等見無見，致以無壞，修明解了，行而觀之。一彈指頃，遍無數土，悉了諸所生。於劫過劫，所可行者，以一時間，於無量劫，復過是數。過所興積，不有惟想，此之過劫。一彈指頃，廣所現作，不以意念，樂慧幻故。是菩薩學明度無極，以過慧幻、達入世幻、明越法幻。與世幻無諍，普遍慧行，幻極三世而過無數。幻過通慧，入于心幻，過億無限，過諸佛幻，普度無極。菩薩如是！解入諸土，都土都悉曉了，永無所著，都亦無念。如彼幻士！因帝網幻，普現諸幻，不處于幻，亦無所惑。菩薩如是！得入諸法度無極者！不念入法，入法不惑，是菩薩名廣普大定。」(CBETA 2026.R1, T10, no. 288, p. 578a25-c24)</t>
    </r>
    <phoneticPr fontId="18" type="noConversion"/>
  </si>
  <si>
    <t>《維摩經義疏》卷1：「「帝網菩薩」者，幻術，經名帝網，此大士神變自在猶如幻化，故借帝網以名之也。」(CBETA 2026.R1, T38, no. 1781, p. 922c23-25)</t>
    <phoneticPr fontId="18" type="noConversion"/>
  </si>
  <si>
    <r>
      <t>《十地經論義記》卷3：「如帝網者，牒</t>
    </r>
    <r>
      <rPr>
        <sz val="11"/>
        <color theme="1"/>
        <rFont val="Yu Gothic"/>
        <family val="2"/>
        <charset val="128"/>
      </rPr>
      <t>舉</t>
    </r>
    <r>
      <rPr>
        <sz val="11"/>
        <color theme="1"/>
        <rFont val="맑은 고딕"/>
        <family val="3"/>
        <charset val="129"/>
        <scheme val="minor"/>
      </rPr>
      <t>經文。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實義相，將論對顯。如帝釋網，百寶所成，諸色互班，不相障礙。世界如是，一處之中備有多土，多土同體，互相集成，無有一土別守自性而無不性。世界實爾，名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實義。如業幻者，轉</t>
    </r>
    <r>
      <rPr>
        <sz val="11"/>
        <color theme="1"/>
        <rFont val="Microsoft JhengHei"/>
        <family val="2"/>
        <charset val="136"/>
      </rPr>
      <t>喻</t>
    </r>
    <r>
      <rPr>
        <sz val="11"/>
        <color theme="1"/>
        <rFont val="맑은 고딕"/>
        <family val="3"/>
        <charset val="129"/>
        <scheme val="minor"/>
      </rPr>
      <t>況土，成如帝網。如似世人業幻之力，火處見水，水處見火，地處見空，空處見地，如是一切世界同爾，名業幻作，故如帝網。」(CBETA 2026.R1, X45, no. 753, p. 99a7-13)</t>
    </r>
    <phoneticPr fontId="18" type="noConversion"/>
  </si>
  <si>
    <t>《大方廣佛華嚴經》卷56：「善男子！若有菩薩成就十法，則能滿足因陀羅網普智光明菩薩之行。」(CBETA 2026.R1, T09, no. 278, p. 755c15-16)</t>
  </si>
  <si>
    <t>《大方廣佛華嚴經》卷58：「遍遊因陀羅網世界，諸佛世界，如風無礙，深入法界；現諸世間」(CBETA 2026.R1, T09, no. 278, pp. 772c28-773a1)</t>
  </si>
  <si>
    <t>《大方廣佛華嚴經》卷60：「或有世界如因陀羅網」(CBETA 2026.R1, T09, no. 278, p. 781c2)</t>
  </si>
  <si>
    <t>《大乘止觀法門》卷4：「蓮花藏海帝網以開張。娑婆雜土星羅而布列。乃使同形異見一唱殊聞。外色眾彰珠光亂彩。」(CBETA 2026.R1, T46, no. 1924, p. 661c5-7)</t>
  </si>
  <si>
    <t>검토 속성</t>
    <phoneticPr fontId="18" type="noConversion"/>
  </si>
  <si>
    <r>
      <t>《十地經論》卷3：「經曰：又發大願，所謂無餘一切世界廣大無量</t>
    </r>
    <r>
      <rPr>
        <sz val="11"/>
        <color theme="1"/>
        <rFont val="Yu Gothic"/>
        <family val="2"/>
        <charset val="128"/>
      </rPr>
      <t>麁</t>
    </r>
    <r>
      <rPr>
        <sz val="11"/>
        <color theme="1"/>
        <rFont val="맑은 고딕"/>
        <family val="3"/>
        <charset val="129"/>
        <scheme val="minor"/>
      </rPr>
      <t>細亂住、倒住正住，如帝網差別，十方世界無量差別入皆現前知故。廣大如法界究竟如虛空，盡未來際盡一切劫數一切世界數，信入無有休息。」(CBETA 2026.R1, T26, no. 1522, p. 139c2-6)</t>
    </r>
    <phoneticPr fontId="18" type="noConversion"/>
  </si>
  <si>
    <t>비유</t>
    <phoneticPr fontId="18" type="noConversion"/>
  </si>
  <si>
    <r>
      <t>《十地經論》卷3：「如帝網差別者，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實義相故，如業幻作故。」(CBETA 2026.R1, T26, no. 1522, p. 139c14-15)</t>
    </r>
    <phoneticPr fontId="18" type="noConversion"/>
  </si>
  <si>
    <t>十住經</t>
    <phoneticPr fontId="18" type="noConversion"/>
  </si>
  <si>
    <t>《大方等大集經》卷18：「爾時，帝網菩薩白佛言」(CBETA 2026.R1, T13, no. 397, p. 123b2)</t>
    <phoneticPr fontId="18" type="noConversion"/>
  </si>
  <si>
    <t>菩提資糧論</t>
    <phoneticPr fontId="18" type="noConversion"/>
  </si>
  <si>
    <t>텍스트 성격</t>
    <phoneticPr fontId="26" type="noConversion"/>
  </si>
  <si>
    <t>경문</t>
    <phoneticPr fontId="26" type="noConversion"/>
  </si>
  <si>
    <t>법화</t>
    <phoneticPr fontId="26" type="noConversion"/>
  </si>
  <si>
    <t>화엄</t>
    <phoneticPr fontId="26" type="noConversion"/>
  </si>
  <si>
    <t>대집</t>
    <phoneticPr fontId="26" type="noConversion"/>
  </si>
  <si>
    <t>경집</t>
    <phoneticPr fontId="26" type="noConversion"/>
  </si>
  <si>
    <t>유마</t>
    <phoneticPr fontId="26" type="noConversion"/>
  </si>
  <si>
    <t>능가</t>
    <phoneticPr fontId="26" type="noConversion"/>
  </si>
  <si>
    <t>주석</t>
    <phoneticPr fontId="26" type="noConversion"/>
  </si>
  <si>
    <t>논집</t>
    <phoneticPr fontId="26" type="noConversion"/>
  </si>
  <si>
    <t>율부</t>
    <phoneticPr fontId="26" type="noConversion"/>
  </si>
  <si>
    <t>논서</t>
    <phoneticPr fontId="26" type="noConversion"/>
  </si>
  <si>
    <t>승만</t>
    <phoneticPr fontId="26" type="noConversion"/>
  </si>
  <si>
    <t>비고</t>
  </si>
  <si>
    <t>2회</t>
  </si>
  <si>
    <t>시기 논란, 미확정.</t>
    <phoneticPr fontId="26" type="noConversion"/>
  </si>
  <si>
    <t>게송이라 게송 단위 그대로 옮김.</t>
  </si>
  <si>
    <t>경문</t>
  </si>
  <si>
    <t>윗 경문의 주석</t>
  </si>
  <si>
    <t>저자논란, 범위 확장 가능할지도.</t>
    <phoneticPr fontId="26" type="noConversion"/>
  </si>
  <si>
    <t>계통 분류</t>
    <phoneticPr fontId="26" type="noConversion"/>
  </si>
  <si>
    <t>世界,世,界</t>
    <phoneticPr fontId="18" type="noConversion"/>
  </si>
  <si>
    <t>형성지</t>
    <phoneticPr fontId="18" type="noConversion"/>
  </si>
  <si>
    <t>외부</t>
    <phoneticPr fontId="18" type="noConversion"/>
  </si>
  <si>
    <t>내부</t>
    <phoneticPr fontId="18" type="noConversion"/>
  </si>
  <si>
    <t>智慧,智,慧</t>
    <phoneticPr fontId="18" type="noConversion"/>
  </si>
  <si>
    <t>性</t>
    <phoneticPr fontId="18" type="noConversion"/>
  </si>
  <si>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1"/>
        <rFont val="Yu Gothic"/>
        <family val="2"/>
        <charset val="128"/>
      </rPr>
      <t>真</t>
    </r>
    <r>
      <rPr>
        <sz val="11"/>
        <color theme="1"/>
        <rFont val="맑은 고딕"/>
        <family val="2"/>
        <charset val="129"/>
      </rPr>
      <t>,</t>
    </r>
    <r>
      <rPr>
        <sz val="11"/>
        <color theme="1"/>
        <rFont val="Yu Gothic"/>
        <family val="2"/>
        <charset val="128"/>
      </rPr>
      <t>實</t>
    </r>
    <phoneticPr fontId="18" type="noConversion"/>
  </si>
  <si>
    <t>T1732</t>
  </si>
  <si>
    <t>唐 智儼述</t>
  </si>
  <si>
    <t>602~668</t>
  </si>
  <si>
    <t>大方廣佛華嚴經搜玄分齊通智方軌</t>
  </si>
  <si>
    <t>T1868</t>
  </si>
  <si>
    <t>隋 杜順說．唐 智儼撰</t>
  </si>
  <si>
    <t>華嚴一乘十玄門</t>
  </si>
  <si>
    <t>T1870</t>
  </si>
  <si>
    <t>唐 智儼集</t>
  </si>
  <si>
    <t>華嚴經內章門等雜孔目章</t>
  </si>
  <si>
    <t>《大方廣佛華嚴經搜玄分齊通智方軌》卷1：「次一明此土窮因陀羅網體」(CBETA 2026.R1, T35, no. 1732, p. 24a10-11)</t>
  </si>
  <si>
    <t>T2060</t>
  </si>
  <si>
    <t>唐 道宣撰</t>
  </si>
  <si>
    <t>645~645</t>
  </si>
  <si>
    <t>續高僧傳</t>
  </si>
  <si>
    <t>T0476</t>
  </si>
  <si>
    <t>唐 玄奘譯</t>
  </si>
  <si>
    <t>650~650</t>
  </si>
  <si>
    <t>說無垢稱經</t>
  </si>
  <si>
    <t>T1545</t>
  </si>
  <si>
    <t>五百大阿羅漢等造 唐 玄奘譯</t>
  </si>
  <si>
    <t>656~659</t>
  </si>
  <si>
    <t>阿毘達磨大毘婆沙論</t>
  </si>
  <si>
    <t>T0220</t>
  </si>
  <si>
    <t>660~663</t>
  </si>
  <si>
    <t>大般若波羅蜜多經</t>
  </si>
  <si>
    <t>T2104</t>
  </si>
  <si>
    <t>661~664</t>
  </si>
  <si>
    <t>集古今佛道論衡</t>
  </si>
  <si>
    <t>T2103</t>
  </si>
  <si>
    <t>664~664</t>
  </si>
  <si>
    <t>廣弘明集</t>
  </si>
  <si>
    <t>T1782</t>
  </si>
  <si>
    <t>唐 窺基撰</t>
  </si>
  <si>
    <t>672~672</t>
  </si>
  <si>
    <t>說無垢稱經疏</t>
  </si>
  <si>
    <t>《大方廣佛華嚴經搜玄分齊通智方軌》卷1：「一同時具足相應門。於中有十：一教義具足、二理事具足、三解行具足、四因果具足、五人法具足、六分齊境位具足、七師弟法智具足、八主伴依正具足、九逆順體用自在具足、十隨生根欲示現具足。此等十門相應，無有前後也。二因陀羅網境界門。此中具前十門，但義從喻異耳，餘可准上。」(CBETA 2026.R1, T35, no. 1732, p. 15b1-8)</t>
  </si>
  <si>
    <t>《大方廣佛華嚴經搜玄分齊通智方軌》卷1：「聖中有二，謂理、量二法。此二各有二法，因陀羅網境界即理中量也，及量中之一分耳，此可思準之。」(CBETA 2026.R1, T35, no. 1732, p. 19a16-18)</t>
  </si>
  <si>
    <t>《大方廣佛華嚴經搜玄分齊通智方軌》卷5：「次十顯淨因陀羅網境界成智覺分齊」(CBETA 2026.R1, T35, no. 1732, p. 105b13-14)</t>
  </si>
  <si>
    <r>
      <t>《華嚴經內章門等雜孔目章》卷3：「六知世界願。謂知一切相乃至正住等及倒住等。乃至如帝網差別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實義相故。如業幻作故。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實義相者。唯智能知。餘相者。可現見故。」(CBETA 2026.R1, T45, no. 1870, p. 563a22-25)</t>
    </r>
    <phoneticPr fontId="18" type="noConversion"/>
  </si>
  <si>
    <t>《華嚴經內章門等雜孔目章》卷4：「問何故上來所錄並皆差別不同。答依大經本所顯義門相。即容融理事自在所有教義。一即一切。一切即一。如帝網喻無盡不同。若諸教網。主伴相顯。有定相者。即違大理故。」(CBETA 2026.R1, T45, no. 1870, p. 587c18-22)</t>
  </si>
  <si>
    <t>《華嚴一乘十玄門》卷1：「二者因陀羅網境界門」(CBETA 2026.R1, T45, no. 1868, p. 515b19)</t>
  </si>
  <si>
    <t>《華嚴一乘十玄門》卷1：「第二因陀羅網境界門者。此約譬以明。亦復具有教義等十門。如梵網經。即取梵宮羅網為喻。」(CBETA 2026.R1, T45, no. 1868, p. 516b6-8)</t>
  </si>
  <si>
    <t>《華嚴一乘十玄門》卷1：「今言因陀羅網者。即以帝釋殿網為喻。帝釋殿網為喻者。須先識此帝網之相。以何為相。猶如眾鏡相照眾鏡之影見一鏡中。如是影中復現眾影。一一影中復現眾影。即重重現影成其無盡復無盡也。是故如第七地讚請經云。於一微塵中各示那由他無量無邊佛於中而說法。此即智正覺。世間又云。於一微塵中現無量佛國須彌金剛圍。世間不迫迮。此即據器世間。又云。於一微塵中現有三惡道天人阿修羅。各各受業報。此即據眾生世間。又云。如一微塵所示現。一切微塵亦如是。故於微塵現國土。國土微塵復示現。所以成其無盡復無盡。此即是其法界緣起。如智如理實德如此。非即變化對緣方便故說。若是大乘宗所明。即言神力變化故大小得相入。或云菩薩力故入。又言不二故入。不同一乘說。問若此宗明相入不論神力。乃言自體常如此者。斯則渾無疆界。無始無終何緣得辨因果教義等耶。答以隨智差別故舉一為主。餘則為伴。猶如帝網舉一珠為首眾珠現中。如一珠即爾。一切珠現亦如是。是故前經舉一菩薩為主。一切菩薩圍繞。一一菩薩皆悉如是。又如諸方皆來證誠同其名號。一切十方證誠皆亦如是。所以成其無盡復無盡。而不失因果先後次第。而體無增減故經云。一切眾生盡成佛。佛界亦不增。眾生界亦不減。若無一眾生成佛眾生界亦不增。佛界亦不減也。」(CBETA 2026.R1, T45, no. 1868, p. 516b8-c6)</t>
  </si>
  <si>
    <t>《華嚴一乘十玄門》卷1：「問此明其無盡復無盡。相即復相入。與前因陀羅網。及微細相容門有何差別耶。」(CBETA 2026.R1, T45, no. 1868, p. 517b28-c1)</t>
  </si>
  <si>
    <t>《華嚴一乘十玄門》卷1：「若就隱映相應互相顯發。重重復重重成其無盡者。即是因陀羅網門攝。」(CBETA 2026.R1, T45, no. 1868, p. 517c2-3)</t>
  </si>
  <si>
    <t>《續高僧傳》卷20：「帝網之所不拘。」(CBETA 2026.R1, T50, no. 2060, p. 596c12)</t>
  </si>
  <si>
    <t>《說無垢稱經》卷1：「帝網菩薩」(CBETA 2026.R1, T14, no. 476, p. 558a14)</t>
  </si>
  <si>
    <t>《阿毘達磨大毘婆沙論》卷135：「如帝網戲非有現有。」(CBETA 2026.R1, T27, no. 1545, p. 697b12)</t>
  </si>
  <si>
    <t>《大般若波羅蜜多經》卷475：「「舍利子！如工幻師或彼弟子，依帝網術化作無量百千俱胝諸有情類，復化種種上妙飲食施化有情皆令飽滿，作是事已歡喜唱言：『我已獲得廣大福聚。』於意云何？是工幻師或彼弟子，實令有情得飽滿不？」舍利子言：「不也！世尊！」」(CBETA 2026.R1, T07, no. 220, pp. 405c29-406a5)</t>
  </si>
  <si>
    <t>《大般若波羅蜜多經》卷534：「「舍利子！如巧幻師或彼弟子，依帝網術化作無量百千俱胝那庾多眾，復化種種上妙飲食施幻有情皆令飽滿，作此事已歡喜唱言：『我已獲得廣大福聚。』於意云何？此巧幻師或彼弟子，實使有情得飽滿不？」舍利子曰：「不也！世尊！」」(CBETA 2026.R1, T07, no. 220, p. 745a1-6)</t>
  </si>
  <si>
    <t>《集古今佛道論衡》卷4：「筆者詳略褒之義道可曰。脫頴當時准的萬代。碎黃巾於黃屋。不藉漢師。列帝網於帝前。無勞秦陣。是以雲梯嬰帶。徒聞姚主之談。吞併合從。成祖宋君之美信矣。」(CBETA 2026.R1, T52, no. 2104, pp. 390c28-391a3)</t>
  </si>
  <si>
    <t>《廣弘明集》卷29：「隣虛含大千之界。剎那總三世之時。懼斯言之少信。借帝網以除疑。」(CBETA 2026.R1, T52, no. 2103, p. 340b12-14)</t>
  </si>
  <si>
    <t>《說無垢稱經疏》卷2：「經　帝網(至)慧峯菩薩。」(CBETA 2026.R1, T38, no. 1782, p. 1017a25)</t>
  </si>
  <si>
    <t>《說無垢稱經疏》卷2：「如天帝釋有自在術，於一一事中現一切事，網或眾生。菩薩神通以作幻術，網利眾生，故名帝網。」(CBETA 2026.R1, T38, no. 1782, p. 1017a25-27)</t>
  </si>
  <si>
    <r>
      <t>《勝鬘經義記》卷1：「然土有三：一法性土，一切國土本性</t>
    </r>
    <r>
      <rPr>
        <sz val="11"/>
        <color theme="1"/>
        <rFont val="Noto Sans KR"/>
        <family val="3"/>
        <charset val="129"/>
      </rPr>
      <t>清</t>
    </r>
    <r>
      <rPr>
        <sz val="11"/>
        <color theme="1"/>
        <rFont val="맑은 고딕"/>
        <family val="3"/>
        <charset val="129"/>
        <scheme val="minor"/>
      </rPr>
      <t>淨，法界諸義同體相成，猶如帝網。凡夫於彼</t>
    </r>
    <r>
      <rPr>
        <sz val="11"/>
        <color theme="1"/>
        <rFont val="Noto Sans KR"/>
        <family val="3"/>
        <charset val="129"/>
      </rPr>
      <t>清</t>
    </r>
    <r>
      <rPr>
        <sz val="11"/>
        <color theme="1"/>
        <rFont val="맑은 고딕"/>
        <family val="3"/>
        <charset val="129"/>
        <scheme val="minor"/>
      </rPr>
      <t>淨土中，妄想覆心自累成隔，唯見鄣礙事別之土，後除妄想隔礙之心，本隱淨土顯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我用，名法性土。」(CBETA 2026.R1, X19, no. 351, p. 870b24-c4)</t>
    </r>
    <phoneticPr fontId="18" type="noConversion"/>
  </si>
  <si>
    <t>인용부분 문자열 길이(문장부호 포함)</t>
    <phoneticPr fontId="18" type="noConversion"/>
  </si>
  <si>
    <t>풀이</t>
    <phoneticPr fontId="18" type="noConversion"/>
  </si>
  <si>
    <t>비유</t>
    <phoneticPr fontId="18" type="noConversion"/>
  </si>
  <si>
    <t>지시</t>
    <phoneticPr fontId="18" type="noConversion"/>
  </si>
  <si>
    <t>예외</t>
    <phoneticPr fontId="18" type="noConversion"/>
  </si>
  <si>
    <t>관계</t>
    <phoneticPr fontId="18" type="noConversion"/>
  </si>
  <si>
    <r>
      <rPr>
        <sz val="11"/>
        <rFont val="맑은 고딕"/>
        <family val="2"/>
        <charset val="129"/>
      </rPr>
      <t>《大方廣佛華嚴經》卷</t>
    </r>
    <r>
      <rPr>
        <sz val="11"/>
        <rFont val="Carlito"/>
        <family val="2"/>
      </rPr>
      <t>2</t>
    </r>
    <r>
      <rPr>
        <sz val="11"/>
        <rFont val="맑은 고딕"/>
        <family val="2"/>
        <charset val="129"/>
      </rPr>
      <t>〈</t>
    </r>
    <r>
      <rPr>
        <sz val="11"/>
        <rFont val="Carlito"/>
        <family val="2"/>
      </rPr>
      <t xml:space="preserve">1 </t>
    </r>
    <r>
      <rPr>
        <sz val="11"/>
        <rFont val="맑은 고딕"/>
        <family val="2"/>
        <charset val="129"/>
      </rPr>
      <t>世間淨眼品〉</t>
    </r>
    <r>
      <rPr>
        <sz val="11"/>
        <rFont val="Carlito"/>
        <family val="2"/>
      </rPr>
      <t xml:space="preserve"> CBETA 2024.R3, T09, no. 278, p. 404a9-b17)</t>
    </r>
    <phoneticPr fontId="18" type="noConversion"/>
  </si>
  <si>
    <r>
      <rPr>
        <sz val="11"/>
        <rFont val="돋움"/>
        <family val="3"/>
        <charset val="129"/>
      </rPr>
      <t>《大方廣佛華嚴經》卷</t>
    </r>
    <r>
      <rPr>
        <sz val="11"/>
        <rFont val="Carlito"/>
        <family val="2"/>
      </rPr>
      <t>3</t>
    </r>
    <r>
      <rPr>
        <sz val="11"/>
        <rFont val="돋움"/>
        <family val="3"/>
        <charset val="129"/>
      </rPr>
      <t>〈</t>
    </r>
    <r>
      <rPr>
        <sz val="11"/>
        <rFont val="Carlito"/>
        <family val="2"/>
      </rPr>
      <t xml:space="preserve">2 </t>
    </r>
    <r>
      <rPr>
        <sz val="11"/>
        <rFont val="돋움"/>
        <family val="3"/>
        <charset val="129"/>
      </rPr>
      <t>盧舍那佛品〉：「　於此蓮華藏，　　世界海之內，　一一微塵中，　　見一切法界。」</t>
    </r>
    <r>
      <rPr>
        <sz val="11"/>
        <rFont val="Carlito"/>
        <family val="2"/>
      </rPr>
      <t>(CBETA 2024.R3, T09, no. 278, p. 412c7-8)</t>
    </r>
    <phoneticPr fontId="18" type="noConversion"/>
  </si>
  <si>
    <r>
      <rPr>
        <sz val="11"/>
        <rFont val="돋움"/>
        <family val="3"/>
        <charset val="129"/>
      </rPr>
      <t>《大方廣佛華嚴經》卷</t>
    </r>
    <r>
      <rPr>
        <sz val="11"/>
        <rFont val="Carlito"/>
        <family val="2"/>
      </rPr>
      <t>60</t>
    </r>
    <r>
      <rPr>
        <sz val="11"/>
        <rFont val="돋움"/>
        <family val="3"/>
        <charset val="129"/>
      </rPr>
      <t>〈</t>
    </r>
    <r>
      <rPr>
        <sz val="11"/>
        <rFont val="Carlito"/>
        <family val="2"/>
      </rPr>
      <t xml:space="preserve">34 </t>
    </r>
    <r>
      <rPr>
        <sz val="11"/>
        <rFont val="돋움"/>
        <family val="3"/>
        <charset val="129"/>
      </rPr>
      <t>入法界品〉</t>
    </r>
    <r>
      <rPr>
        <sz val="11"/>
        <rFont val="Carlito"/>
        <family val="2"/>
      </rPr>
      <t xml:space="preserve"> (CBETA 2024.R3, T09, no. 278, p. 784b14-c18)</t>
    </r>
    <phoneticPr fontId="18" type="noConversion"/>
  </si>
  <si>
    <r>
      <rPr>
        <sz val="11"/>
        <rFont val="맑은 고딕"/>
        <family val="2"/>
        <charset val="129"/>
      </rPr>
      <t>지겸역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평행구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《佛說維摩詰經》卷</t>
    </r>
    <r>
      <rPr>
        <sz val="11"/>
        <rFont val="Carlito"/>
        <family val="2"/>
      </rPr>
      <t>2</t>
    </r>
    <r>
      <rPr>
        <sz val="11"/>
        <rFont val="맑은 고딕"/>
        <family val="2"/>
        <charset val="129"/>
      </rPr>
      <t>〈</t>
    </r>
    <r>
      <rPr>
        <sz val="11"/>
        <rFont val="Carlito"/>
        <family val="2"/>
      </rPr>
      <t xml:space="preserve">11 </t>
    </r>
    <r>
      <rPr>
        <sz val="11"/>
        <rFont val="Gulim"/>
        <family val="2"/>
      </rPr>
      <t>菩</t>
    </r>
    <r>
      <rPr>
        <sz val="11"/>
        <rFont val="Gulim"/>
        <family val="2"/>
        <charset val="134"/>
      </rPr>
      <t>薩行品</t>
    </r>
    <r>
      <rPr>
        <sz val="11"/>
        <rFont val="Gulim"/>
        <family val="2"/>
        <charset val="129"/>
      </rPr>
      <t>〉：「有以影、嚮、夢、幻、水月、野馬，曉</t>
    </r>
    <r>
      <rPr>
        <sz val="11"/>
        <rFont val="Microsoft JhengHei UI"/>
        <family val="2"/>
        <charset val="134"/>
      </rPr>
      <t>喻文說而作佛事」</t>
    </r>
    <r>
      <rPr>
        <sz val="11"/>
        <rFont val="Carlito"/>
        <family val="2"/>
      </rPr>
      <t xml:space="preserve">(CBETA 2024.R3, T14, no. 474, p. 533b19-20); </t>
    </r>
    <r>
      <rPr>
        <sz val="11"/>
        <rFont val="맑은 고딕"/>
        <family val="2"/>
        <charset val="129"/>
      </rPr>
      <t>구마라집역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평행구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《維摩詰所說經》卷</t>
    </r>
    <r>
      <rPr>
        <sz val="11"/>
        <rFont val="Carlito"/>
        <family val="2"/>
      </rPr>
      <t>3</t>
    </r>
    <r>
      <rPr>
        <sz val="11"/>
        <rFont val="맑은 고딕"/>
        <family val="2"/>
        <charset val="129"/>
      </rPr>
      <t>〈</t>
    </r>
    <r>
      <rPr>
        <sz val="11"/>
        <rFont val="Carlito"/>
        <family val="2"/>
      </rPr>
      <t xml:space="preserve">11 </t>
    </r>
    <r>
      <rPr>
        <sz val="11"/>
        <rFont val="Gulim"/>
        <family val="2"/>
      </rPr>
      <t>菩</t>
    </r>
    <r>
      <rPr>
        <sz val="11"/>
        <rFont val="Gulim"/>
        <family val="2"/>
        <charset val="134"/>
      </rPr>
      <t>薩行品</t>
    </r>
    <r>
      <rPr>
        <sz val="11"/>
        <rFont val="Gulim"/>
        <family val="2"/>
        <charset val="129"/>
      </rPr>
      <t>〉：「有以夢、幻、影、響、鏡中像、水中月、熱時炎如是等</t>
    </r>
    <r>
      <rPr>
        <sz val="11"/>
        <rFont val="Microsoft JhengHei UI"/>
        <family val="2"/>
        <charset val="134"/>
      </rPr>
      <t>喻，而作佛事」</t>
    </r>
    <r>
      <rPr>
        <sz val="11"/>
        <rFont val="Carlito"/>
        <family val="2"/>
      </rPr>
      <t>(CBETA 2024.R3, T14, no. 475, p. 553c24-25)</t>
    </r>
    <phoneticPr fontId="18" type="noConversion"/>
  </si>
  <si>
    <r>
      <rPr>
        <sz val="11"/>
        <rFont val="맑은 고딕"/>
        <family val="2"/>
        <charset val="129"/>
      </rPr>
      <t>반야경의</t>
    </r>
    <r>
      <rPr>
        <sz val="11"/>
        <rFont val="Carlito"/>
        <family val="2"/>
      </rPr>
      <t xml:space="preserve"> 3</t>
    </r>
    <r>
      <rPr>
        <sz val="11"/>
        <rFont val="맑은 고딕"/>
        <family val="2"/>
        <charset val="129"/>
      </rPr>
      <t>개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용례는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반복되는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구절</t>
    </r>
    <r>
      <rPr>
        <sz val="11"/>
        <rFont val="Carlito"/>
        <family val="2"/>
      </rPr>
      <t>.</t>
    </r>
    <phoneticPr fontId="18" type="noConversion"/>
  </si>
  <si>
    <r>
      <rPr>
        <sz val="11"/>
        <rFont val="맑은 고딕"/>
        <family val="2"/>
        <charset val="129"/>
      </rPr>
      <t>수사적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표현</t>
    </r>
    <r>
      <rPr>
        <sz val="11"/>
        <rFont val="Carlito"/>
        <family val="2"/>
      </rPr>
      <t xml:space="preserve">. </t>
    </r>
    <r>
      <rPr>
        <sz val="11"/>
        <rFont val="맑은 고딕"/>
        <family val="2"/>
        <charset val="129"/>
      </rPr>
      <t>帝前과의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말장난에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가까움</t>
    </r>
    <r>
      <rPr>
        <sz val="11"/>
        <rFont val="Carlito"/>
        <family val="2"/>
      </rPr>
      <t>.</t>
    </r>
    <phoneticPr fontId="18" type="noConversion"/>
  </si>
  <si>
    <r>
      <rPr>
        <sz val="11"/>
        <rFont val="맑은 고딕"/>
        <family val="2"/>
        <charset val="129"/>
      </rPr>
      <t>싯구</t>
    </r>
    <r>
      <rPr>
        <sz val="11"/>
        <rFont val="Carlito"/>
        <family val="2"/>
      </rPr>
      <t xml:space="preserve">. </t>
    </r>
    <r>
      <rPr>
        <sz val="11"/>
        <rFont val="맑은 고딕"/>
        <family val="2"/>
        <charset val="129"/>
      </rPr>
      <t>고정된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의미를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활용하는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쪽에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가까운듯</t>
    </r>
    <r>
      <rPr>
        <sz val="11"/>
        <rFont val="Carlito"/>
        <family val="2"/>
      </rPr>
      <t>.</t>
    </r>
    <phoneticPr fontId="18" type="noConversion"/>
  </si>
  <si>
    <t>주석</t>
    <phoneticPr fontId="18" type="noConversion"/>
  </si>
  <si>
    <t>사서</t>
    <phoneticPr fontId="18" type="noConversion"/>
  </si>
  <si>
    <t>경문</t>
    <phoneticPr fontId="18" type="noConversion"/>
  </si>
  <si>
    <t>시문</t>
    <phoneticPr fontId="18" type="noConversion"/>
  </si>
  <si>
    <t>유마</t>
    <phoneticPr fontId="18" type="noConversion"/>
  </si>
  <si>
    <t>아비달마</t>
    <phoneticPr fontId="18" type="noConversion"/>
  </si>
  <si>
    <t>반야</t>
    <phoneticPr fontId="18" type="noConversion"/>
  </si>
  <si>
    <t>기타</t>
    <phoneticPr fontId="18" type="noConversion"/>
  </si>
  <si>
    <t>《注維摩詰經》卷1：「帝網菩薩。什曰：幻術，經名帝網也。此大士神變自在，猶如幻化，故借帝網以名之。」(CBETA 2026.R1, T38, no. 1775, p. 330c24-25)</t>
    <phoneticPr fontId="18" type="noConversion"/>
  </si>
  <si>
    <t>《維摩經文疏》卷1：「三者，果報國，純法身大士所居，即因陀羅網無障礙土也」(CBETA 2026.R1, X18, no. 338, pp. 465c24-466a1)</t>
    <phoneticPr fontId="18" type="noConversion"/>
  </si>
  <si>
    <r>
      <t>《維摩經文疏》卷7：「三、「隨諸眾生，應以何國入佛智慧」者，初住已上，入佛智慧見中道，破無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緣集一品盡，乃至三十九品盡，皆得生因陀羅網果報無鄣礙土也。當知，菩薩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此，入佛智慧。」(CBETA 2026.R1, X18, no. 338, p. 507a7-11)</t>
    </r>
    <phoneticPr fontId="18" type="noConversion"/>
  </si>
  <si>
    <t>幻</t>
    <phoneticPr fontId="18" type="noConversion"/>
  </si>
  <si>
    <t>전문</t>
    <phoneticPr fontId="18" type="noConversion"/>
  </si>
  <si>
    <r>
      <t>《菩薩戒義疏》卷1：「此經題名「梵網」，上卷文言：佛觀大梵天王因陀羅網，千重文綵不相障</t>
    </r>
    <r>
      <rPr>
        <sz val="11"/>
        <color theme="1"/>
        <rFont val="Yu Gothic"/>
        <family val="2"/>
        <charset val="128"/>
      </rPr>
      <t>閡</t>
    </r>
    <r>
      <rPr>
        <sz val="11"/>
        <color theme="1"/>
        <rFont val="맑은 고딕"/>
        <family val="3"/>
        <charset val="129"/>
        <scheme val="minor"/>
      </rPr>
      <t>，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說無量世界猶如網目，一一世界各各不同，諸佛</t>
    </r>
    <r>
      <rPr>
        <sz val="11"/>
        <color theme="1"/>
        <rFont val="Noto Sans KR"/>
        <family val="3"/>
        <charset val="129"/>
      </rPr>
      <t>教</t>
    </r>
    <r>
      <rPr>
        <sz val="11"/>
        <color theme="1"/>
        <rFont val="맑은 고딕"/>
        <family val="3"/>
        <charset val="129"/>
        <scheme val="minor"/>
      </rPr>
      <t>門亦復如是，莊嚴梵身無所障</t>
    </r>
    <r>
      <rPr>
        <sz val="11"/>
        <color theme="1"/>
        <rFont val="Yu Gothic"/>
        <family val="2"/>
        <charset val="128"/>
      </rPr>
      <t>閡</t>
    </r>
    <r>
      <rPr>
        <sz val="11"/>
        <color theme="1"/>
        <rFont val="맑은 고딕"/>
        <family val="3"/>
        <charset val="129"/>
        <scheme val="minor"/>
      </rPr>
      <t>。從譬立名，總</t>
    </r>
    <r>
      <rPr>
        <sz val="11"/>
        <color theme="1"/>
        <rFont val="Microsoft JhengHei"/>
        <family val="2"/>
        <charset val="136"/>
      </rPr>
      <t>喻</t>
    </r>
    <r>
      <rPr>
        <sz val="11"/>
        <color theme="1"/>
        <rFont val="맑은 고딕"/>
        <family val="3"/>
        <charset val="129"/>
        <scheme val="minor"/>
      </rPr>
      <t>一部所證參差不同，如梵王網也。」(CBETA 2026.R1, T40, no. 1811, p. 569a17-21)</t>
    </r>
    <phoneticPr fontId="18" type="noConversion"/>
  </si>
  <si>
    <t>差別,無數,無量,不同</t>
    <phoneticPr fontId="18" type="noConversion"/>
  </si>
  <si>
    <t>큰 변수는 아니지만 좀 길게 자른 것 같기도.</t>
    <phoneticPr fontId="18" type="noConversion"/>
  </si>
  <si>
    <r>
      <t>《大方廣佛華嚴經》卷23：「又一切世界廣狹及中，無數無量，不可分別、不可壞、不可動、不可說、</t>
    </r>
    <r>
      <rPr>
        <sz val="11"/>
        <color theme="1"/>
        <rFont val="Yu Gothic"/>
        <family val="2"/>
        <charset val="128"/>
      </rPr>
      <t>麁</t>
    </r>
    <r>
      <rPr>
        <sz val="11"/>
        <color theme="1"/>
        <rFont val="맑은 고딕"/>
        <family val="3"/>
        <charset val="129"/>
        <scheme val="minor"/>
      </rPr>
      <t>細、正住、倒住、平坦、方圓，隨入如是世界智，如因陀羅網差別，如是十方世界差別，皆現前知，發如是大願，廣大如法界，究竟如虛空，盡未來際，盡一切劫，如是世界皆現前知，無有休息。」(CBETA 2026.R1, T09, no. 278, p. 545c9-16)</t>
    </r>
    <phoneticPr fontId="18" type="noConversion"/>
  </si>
  <si>
    <r>
      <t>《十住經》卷1〈1 歡喜地〉：「「又，一切世間廣狹極高，無量不可分別、不可移動、不可說</t>
    </r>
    <r>
      <rPr>
        <sz val="11"/>
        <color theme="1"/>
        <rFont val="Yu Gothic"/>
        <family val="2"/>
        <charset val="128"/>
      </rPr>
      <t>麁</t>
    </r>
    <r>
      <rPr>
        <sz val="11"/>
        <color theme="1"/>
        <rFont val="맑은 고딕"/>
        <family val="2"/>
        <charset val="129"/>
        <scheme val="minor"/>
      </rPr>
      <t>細，正住、倒住，首足相對、平坦圓方；隨入如是世間，智如帝網，經幻事差別，如是，十方世界差別皆現前知。發如是大願，廣大如法性、究竟如虛空，盡未來世、盡一切劫，如是世界皆現前淨知，無有休息。」(CBETA 2024.R3, T10, no. 286, p. 501b12-18)</t>
    </r>
    <phoneticPr fontId="18" type="noConversion"/>
  </si>
  <si>
    <r>
      <t>《入楞伽經》卷1：「亂側覆世界，  如因陀羅網， 一切寶國土，  何因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我說。」(CBETA 2026.R1, T16, no. 671, p. 520a15-16)</t>
    </r>
    <phoneticPr fontId="18" type="noConversion"/>
  </si>
  <si>
    <t>《楞伽阿跋多羅寶經》卷1：「側住覆世界， 如因陀羅網，  或悉諸珍寶，」(CBETA 2026.R1, T16, no. 670, p. 481b4-5)</t>
    <phoneticPr fontId="18" type="noConversion"/>
  </si>
  <si>
    <r>
      <t>《維摩經文疏》卷1：「三、明果報國者，即是因陀羅網蓮華藏世界，純諸法身菩薩所居也。以其觀一實諦，能破無明、顯法性，得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實果報，而無明未盡，猶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無明潤無漏業，受法性報身，報身所居依報淨域，即是國也。以觀實相之理，發</t>
    </r>
    <r>
      <rPr>
        <sz val="11"/>
        <color theme="1"/>
        <rFont val="Noto Sans KR"/>
        <family val="3"/>
        <charset val="129"/>
      </rPr>
      <t>真</t>
    </r>
    <r>
      <rPr>
        <sz val="11"/>
        <color theme="1"/>
        <rFont val="맑은 고딕"/>
        <family val="3"/>
        <charset val="129"/>
        <scheme val="minor"/>
      </rPr>
      <t>無漏，所得果報故，名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實修；因無定報，得色心果，所居依報無礙自在，故名果報，亦得言實報無障礙土也。言無障土者，一世界攝一切世界，一切世界亦如是，此名世界海，亦名世界無盡藏。」(CBETA 2026.R1, X18, no. 338, p. 466c3-11)</t>
    </r>
    <phoneticPr fontId="18" type="noConversion"/>
  </si>
  <si>
    <t>《大方廣佛華嚴經》卷11：「菩薩摩訶薩住大悲心，修習如是諸深妙法，寂靜究竟。得佛十力，入因陀羅網法界自在，成就如來無礙解脫。」(CBETA 2026.R1, T09, no. 278, p. 472a15-18)</t>
    <phoneticPr fontId="18" type="noConversion"/>
  </si>
  <si>
    <t>이거 인과가 아니라 나열로 보면 지시로 볼 수 있겠는데.</t>
    <phoneticPr fontId="18" type="noConversion"/>
  </si>
  <si>
    <t>관계? 지시?</t>
    <phoneticPr fontId="18" type="noConversion"/>
  </si>
  <si>
    <t>이것도 지시로 처리 가능할 것 같고.</t>
    <phoneticPr fontId="18" type="noConversion"/>
  </si>
  <si>
    <r>
      <t>《大般若波羅蜜多經》卷392：「「舍利子！如巧幻師或彼弟子，用帝網術化作無量百千俱</t>
    </r>
    <r>
      <rPr>
        <sz val="11"/>
        <color theme="1"/>
        <rFont val="Yu Gothic"/>
        <family val="2"/>
        <charset val="128"/>
      </rPr>
      <t>胝</t>
    </r>
    <r>
      <rPr>
        <sz val="11"/>
        <color theme="1"/>
        <rFont val="맑은 고딕"/>
        <family val="3"/>
        <charset val="129"/>
        <scheme val="minor"/>
      </rPr>
      <t>諸有情類，復化種種上妙</t>
    </r>
    <r>
      <rPr>
        <sz val="11"/>
        <color theme="1"/>
        <rFont val="Yu Gothic"/>
        <family val="2"/>
        <charset val="128"/>
      </rPr>
      <t>飲</t>
    </r>
    <r>
      <rPr>
        <sz val="11"/>
        <color theme="1"/>
        <rFont val="맑은 고딕"/>
        <family val="3"/>
        <charset val="129"/>
        <scheme val="minor"/>
      </rPr>
      <t>食與化有情皆令飽滿，作是事已歡喜唱言：『我已獲得廣大福聚。』舍利子！於汝意云何？如是幻師或彼弟子，實令有情得飽滿不？」舍利子言：「不也！世尊！不也！善逝！」」(CBETA 2026.R1, T06, no. 220, p. 1027b21-26)</t>
    </r>
    <phoneticPr fontId="18" type="noConversion"/>
  </si>
  <si>
    <t>無障礙,無障,無礙</t>
    <phoneticPr fontId="18" type="noConversion"/>
  </si>
  <si>
    <t>《華嚴一乘十玄門》卷1：「問此相容門與前因陀羅網門有何別耶。答諸門隱映互相顯發重重(復重重成其無)盡者。即是因陀羅網門中攝。若諸門一時具顯不相妨礙。即是相容門中攝。」(CBETA 2026.R1, T45, no. 1868, p. 517a3-7)</t>
    <phoneticPr fontId="18" type="noConversion"/>
  </si>
  <si>
    <r>
      <t>障礙,障,礙,鄣,</t>
    </r>
    <r>
      <rPr>
        <sz val="11"/>
        <color theme="1"/>
        <rFont val="Microsoft JhengHei"/>
        <family val="2"/>
        <charset val="136"/>
      </rPr>
      <t>閡</t>
    </r>
    <r>
      <rPr>
        <sz val="11"/>
        <color theme="1"/>
        <rFont val="맑은 고딕"/>
        <family val="2"/>
        <charset val="129"/>
        <scheme val="minor"/>
      </rPr>
      <t>,妨</t>
    </r>
    <phoneticPr fontId="18" type="noConversion"/>
  </si>
  <si>
    <r>
      <t>《說無垢稱經》卷5：「或有佛土</t>
    </r>
    <r>
      <rPr>
        <sz val="11"/>
        <color theme="1"/>
        <rFont val="Noto Sans KR"/>
        <family val="3"/>
        <charset val="129"/>
      </rPr>
      <t>為</t>
    </r>
    <r>
      <rPr>
        <sz val="11"/>
        <color theme="1"/>
        <rFont val="맑은 고딕"/>
        <family val="3"/>
        <charset val="129"/>
        <scheme val="minor"/>
      </rPr>
      <t>諸有情種種文詞宣說幻夢、光影、水月、響聲、陽焰、鏡像、浮雲、健達縛城、帝網等</t>
    </r>
    <r>
      <rPr>
        <sz val="11"/>
        <color theme="1"/>
        <rFont val="Microsoft JhengHei"/>
        <family val="2"/>
        <charset val="136"/>
      </rPr>
      <t>喻</t>
    </r>
    <r>
      <rPr>
        <sz val="11"/>
        <color theme="1"/>
        <rFont val="맑은 고딕"/>
        <family val="3"/>
        <charset val="129"/>
        <scheme val="minor"/>
      </rPr>
      <t>而作佛事」(CBETA 2026.R1, T14, no. 476, p. 582a16-18)</t>
    </r>
    <phoneticPr fontId="18" type="noConversion"/>
  </si>
  <si>
    <t>等目菩薩所問三昧經</t>
    <phoneticPr fontId="18" type="noConversion"/>
  </si>
  <si>
    <t>土</t>
    <phoneticPr fontId="18" type="noConversion"/>
  </si>
  <si>
    <t>지론</t>
    <phoneticPr fontId="26" type="noConversion"/>
  </si>
  <si>
    <t>지론 문헌이라 분류 규칙상 화엄에서는 제외하되 참고만 할 것.</t>
    <phoneticPr fontId="18" type="noConversion"/>
  </si>
  <si>
    <t>識</t>
    <phoneticPr fontId="18" type="noConversion"/>
  </si>
  <si>
    <t>등장 횟수</t>
    <phoneticPr fontId="18" type="noConversion"/>
  </si>
  <si>
    <t>등장 문헌 수</t>
    <phoneticPr fontId="18" type="noConversion"/>
  </si>
  <si>
    <t>주석은 그 시대 것이라도 후대 집성 문헌인 것 고려할 필요.</t>
    <phoneticPr fontId="18" type="noConversion"/>
  </si>
  <si>
    <r>
      <rPr>
        <sz val="11"/>
        <rFont val="맑은 고딕"/>
        <family val="2"/>
        <charset val="129"/>
      </rPr>
      <t>여기서의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제망은</t>
    </r>
    <r>
      <rPr>
        <sz val="11"/>
        <rFont val="Carlito"/>
        <family val="2"/>
      </rPr>
      <t xml:space="preserve"> 앞뒤 문맥상 </t>
    </r>
    <r>
      <rPr>
        <sz val="11"/>
        <rFont val="맑은 고딕"/>
        <family val="2"/>
        <charset val="129"/>
      </rPr>
      <t>차라리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노자적인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천망에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가까움</t>
    </r>
    <r>
      <rPr>
        <sz val="11"/>
        <rFont val="Carlito"/>
        <family val="2"/>
      </rPr>
      <t xml:space="preserve">. </t>
    </r>
    <r>
      <rPr>
        <sz val="11"/>
        <rFont val="맑은 고딕"/>
        <family val="2"/>
        <charset val="129"/>
      </rPr>
      <t>제망은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잡는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그물이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아님</t>
    </r>
    <r>
      <rPr>
        <sz val="11"/>
        <rFont val="Carlito"/>
        <family val="2"/>
      </rPr>
      <t>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</si>
</sst>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1"/>
      <color theme="1"/>
      <name val="맑은 고딕"/>
      <family val="2"/>
      <scheme val="minor"/>
    </font>
    <font>
      <sz val="11"/>
      <color theme="1"/>
      <name val="Noto Sans KR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JhengHei"/>
      <family val="2"/>
      <charset val="136"/>
    </font>
    <font>
      <sz val="11"/>
      <color theme="1"/>
      <name val="Yu Gothic"/>
      <family val="2"/>
      <charset val="128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sz val="11"/>
      <name val="Carlito"/>
      <family val="2"/>
    </font>
    <font>
      <sz val="11"/>
      <name val="돋움"/>
      <family val="3"/>
      <charset val="129"/>
    </font>
    <font>
      <sz val="11"/>
      <name val="Gulim"/>
      <family val="2"/>
    </font>
    <font>
      <sz val="11"/>
      <name val="Gulim"/>
      <family val="2"/>
      <charset val="134"/>
    </font>
    <font>
      <sz val="11"/>
      <name val="Gulim"/>
      <family val="2"/>
      <charset val="129"/>
    </font>
    <font>
      <sz val="11"/>
      <name val="Microsoft JhengHei UI"/>
      <family val="2"/>
      <charset val="134"/>
    </font>
    <font>
      <sz val="11"/>
      <name val="Carlito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0" fillId="0" borderId="0"/>
  </cellStyleXfs>
  <cellXfs count="5">
    <xf numFmtId="0" fontId="0" fillId="0" borderId="0" xfId="0">
      <alignment vertical="center"/>
    </xf>
    <xf numFmtId="0" fontId="25" fillId="0" borderId="0" xfId="0" applyFont="1">
      <alignment vertical="center"/>
    </xf>
    <xf numFmtId="0" fontId="22" fillId="0" borderId="0" xfId="0" applyFont="1">
      <alignment vertical="center"/>
    </xf>
    <xf numFmtId="0" fontId="19" fillId="0" borderId="0" xfId="42"/>
    <xf numFmtId="0" fontId="35" fillId="0" borderId="0" xfId="42" applyFont="1"/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2" xr:uid="{58C732D1-09A7-4850-89AF-2B871DEEE4DF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E37AF5A2-6CBE-46F5-A3EB-D66982BD4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9569-AEFA-446D-AE90-A67189EEBEBB}">
  <dimension ref="A1:X63"/>
  <sheetViews>
    <sheetView tabSelected="1" zoomScale="85" zoomScaleNormal="85" workbookViewId="0">
      <selection activeCell="F8" sqref="F8"/>
    </sheetView>
  </sheetViews>
  <sheetFormatPr defaultRowHeight="16.5"/>
  <cols>
    <col min="1" max="2" width="9" customWidth="1"/>
    <col min="3" max="3" width="28" customWidth="1"/>
    <col min="4" max="4" width="9" customWidth="1"/>
    <col min="5" max="5" width="29.125" customWidth="1"/>
    <col min="6" max="6" width="75.625" customWidth="1"/>
    <col min="7" max="7" width="9" customWidth="1"/>
    <col min="8" max="8" width="14" bestFit="1" customWidth="1"/>
    <col min="9" max="9" width="15.375" customWidth="1"/>
    <col min="10" max="10" width="17.25" customWidth="1"/>
    <col min="11" max="11" width="9.75" customWidth="1"/>
    <col min="12" max="12" width="11.625" bestFit="1" customWidth="1"/>
    <col min="14" max="14" width="12.625" customWidth="1"/>
  </cols>
  <sheetData>
    <row r="1" spans="1:24">
      <c r="N1" t="s">
        <v>244</v>
      </c>
      <c r="O1">
        <f>COUNTIF(O4:O63,"O")</f>
        <v>12</v>
      </c>
      <c r="P1">
        <f>COUNTIF(P4:P63,"O")</f>
        <v>15</v>
      </c>
      <c r="Q1">
        <f>COUNTIF(Q4:Q63,"O")</f>
        <v>14</v>
      </c>
      <c r="R1">
        <f>COUNTIF(R4:R63,"O")</f>
        <v>1</v>
      </c>
      <c r="S1">
        <f t="shared" ref="S1" si="0">COUNTIF(S4:S63,"O")</f>
        <v>7</v>
      </c>
      <c r="T1">
        <f>COUNTIF(T4:T63,"O")</f>
        <v>12</v>
      </c>
      <c r="U1">
        <f t="shared" ref="U1:X1" si="1">COUNTIF(U4:U63,"O")</f>
        <v>30</v>
      </c>
      <c r="V1">
        <f t="shared" si="1"/>
        <v>13</v>
      </c>
      <c r="W1">
        <f t="shared" si="1"/>
        <v>7</v>
      </c>
      <c r="X1">
        <f t="shared" si="1"/>
        <v>10</v>
      </c>
    </row>
    <row r="2" spans="1:24">
      <c r="N2" t="s">
        <v>245</v>
      </c>
      <c r="O2" cm="1">
        <f t="array" ref="O2">ROWS(_xlfn.UNIQUE(_xlfn._xlws.FILTER($B$3:$B$63,(O3:O63="O")*($B$3:$B$63&lt;&gt;""))))</f>
        <v>10</v>
      </c>
      <c r="P2" cm="1">
        <f t="array" ref="P2">ROWS(_xlfn.UNIQUE(_xlfn._xlws.FILTER($B$3:$B$63,(P3:P63="O")*($B$3:$B$63&lt;&gt;""))))</f>
        <v>10</v>
      </c>
      <c r="Q2" cm="1">
        <f t="array" ref="Q2">ROWS(_xlfn.UNIQUE(_xlfn._xlws.FILTER($B$3:$B$63,(Q3:Q63="O")*($B$3:$B$63&lt;&gt;""))))</f>
        <v>10</v>
      </c>
      <c r="R2" cm="1">
        <f t="array" ref="R2">ROWS(_xlfn.UNIQUE(_xlfn._xlws.FILTER($B$3:$B$63,(R3:R63="O")*($B$3:$B$63&lt;&gt;""))))</f>
        <v>1</v>
      </c>
      <c r="S2" cm="1">
        <f t="array" ref="S2">ROWS(_xlfn.UNIQUE(_xlfn._xlws.FILTER($B$3:$B$63,(S3:S63="O")*($B$3:$B$63&lt;&gt;""))))</f>
        <v>3</v>
      </c>
      <c r="T2" cm="1">
        <f t="array" ref="T2">ROWS(_xlfn.UNIQUE(_xlfn._xlws.FILTER($B$3:$B$63,(T3:T63="O")*($B$3:$B$63&lt;&gt;""))))</f>
        <v>7</v>
      </c>
      <c r="U2" cm="1">
        <f t="array" ref="U2">ROWS(_xlfn.UNIQUE(_xlfn._xlws.FILTER($B$3:$B$63,(U3:U63="O")*($B$3:$B$63&lt;&gt;""))))</f>
        <v>17</v>
      </c>
      <c r="V2" cm="1">
        <f t="array" ref="V2">ROWS(_xlfn.UNIQUE(_xlfn._xlws.FILTER($B$3:$B$63,(V3:V63="O")*($B$3:$B$63&lt;&gt;""))))</f>
        <v>9</v>
      </c>
      <c r="W2" cm="1">
        <f t="array" ref="W2">ROWS(_xlfn.UNIQUE(_xlfn._xlws.FILTER($B$3:$B$63,(W3:W63="O")*($B$3:$B$63&lt;&gt;""))))</f>
        <v>5</v>
      </c>
      <c r="X2" cm="1">
        <f t="array" ref="X2">ROWS(_xlfn.UNIQUE(_xlfn._xlws.FILTER($B$3:$B$63,(X3:X63="O")*($B$3:$B$63&lt;&gt;""))))</f>
        <v>7</v>
      </c>
    </row>
    <row r="3" spans="1:24" ht="18.7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221</v>
      </c>
      <c r="G3" t="s">
        <v>5</v>
      </c>
      <c r="H3" t="s">
        <v>6</v>
      </c>
      <c r="I3" t="s">
        <v>196</v>
      </c>
      <c r="J3" t="s">
        <v>105</v>
      </c>
      <c r="K3" s="1" t="s">
        <v>125</v>
      </c>
      <c r="L3" s="1" t="s">
        <v>112</v>
      </c>
      <c r="M3" s="1" t="s">
        <v>134</v>
      </c>
      <c r="N3" s="1" t="s">
        <v>132</v>
      </c>
      <c r="O3" s="1" t="s">
        <v>220</v>
      </c>
      <c r="P3" t="s">
        <v>223</v>
      </c>
      <c r="Q3" t="s">
        <v>240</v>
      </c>
      <c r="R3" t="s">
        <v>243</v>
      </c>
      <c r="S3" t="s">
        <v>235</v>
      </c>
      <c r="T3" t="s">
        <v>237</v>
      </c>
      <c r="U3" t="s">
        <v>133</v>
      </c>
      <c r="V3" t="s">
        <v>137</v>
      </c>
      <c r="W3" t="s">
        <v>138</v>
      </c>
      <c r="X3" s="2" t="s">
        <v>139</v>
      </c>
    </row>
    <row r="4" spans="1:24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91</v>
      </c>
      <c r="G4">
        <f>(LEN(F4)-LEN(SUBSTITUTE(F4,"帝網","")))/LEN("帝網")
 +(LEN(F4)-LEN(SUBSTITUTE(F4,"帝釋網","")))/LEN("帝釋網")
 +(LEN(F4)-LEN(SUBSTITUTE(F4,"因陀羅網","")))/LEN("因陀羅網")</f>
        <v>1</v>
      </c>
      <c r="H4" t="str">
        <f>_xlfn.TEXTBEFORE(_xlfn.TEXTAFTER(F4,"p. "),")")</f>
        <v>254c21-22</v>
      </c>
      <c r="I4">
        <f>LEN(_xlfn.TEXTBEFORE(_xlfn.TEXTAFTER(F4,"：「"),"」(CBETA"))</f>
        <v>7</v>
      </c>
      <c r="J4" t="s">
        <v>93</v>
      </c>
      <c r="K4" s="1"/>
      <c r="L4" s="1" t="s">
        <v>113</v>
      </c>
      <c r="M4" s="1" t="s">
        <v>135</v>
      </c>
      <c r="N4" s="1" t="s">
        <v>114</v>
      </c>
      <c r="O4" t="str" cm="1">
        <f t="array" ref="O4">_xlfn.LET(
  _xlpm.target,IFERROR(_xlfn.TEXTBEFORE(_xlfn.TEXTAFTER($F4,"：「"),"」("),""),
  _xlpm.words,TRIM(_xlfn.TEXTSPLIT(O$3,",")),
  IF(SUM(--ISNUMBER(SEARCH(_xlpm.words,_xlpm.target)))&gt;0,"O","X")
)</f>
        <v>X</v>
      </c>
      <c r="P4" t="str" cm="1">
        <f t="array" ref="P4">_xlfn.LET(
  _xlpm.target,IFERROR(_xlfn.TEXTBEFORE(_xlfn.TEXTAFTER($F4,"：「"),"」("),""),
  _xlpm.words,TRIM(_xlfn.TEXTSPLIT(P$3,",")),
  IF(SUM(--ISNUMBER(SEARCH(_xlpm.words,_xlpm.target)))&gt;0,"O","X")
)</f>
        <v>X</v>
      </c>
      <c r="Q4" t="str" cm="1">
        <f t="array" ref="Q4">_xlfn.LET(
  _xlpm.target,IFERROR(_xlfn.TEXTBEFORE(_xlfn.TEXTAFTER($F4,"：「"),"」("),""),
  _xlpm.words,TRIM(_xlfn.TEXTSPLIT(Q$3,",")),
  IF(SUM(--ISNUMBER(SEARCH(_xlpm.words,_xlpm.target)))&gt;0,"O","X")
)</f>
        <v>X</v>
      </c>
      <c r="R4" t="str" cm="1">
        <f t="array" ref="R4">_xlfn.LET(
  _xlpm.target,IFERROR(_xlfn.TEXTBEFORE(_xlfn.TEXTAFTER($F4,"：「"),"」("),""),
  _xlpm.words,TRIM(_xlfn.TEXTSPLIT(R$3,",")),
  IF(SUM(--ISNUMBER(SEARCH(_xlpm.words,_xlpm.target)))&gt;0,"O","X")
)</f>
        <v>X</v>
      </c>
      <c r="S4" t="str" cm="1">
        <f t="array" ref="S4">_xlfn.LET(
  _xlpm.target,IFERROR(_xlfn.TEXTBEFORE(_xlfn.TEXTAFTER($F4,"：「"),"」("),""),
  _xlpm.words,TRIM(_xlfn.TEXTSPLIT(S$3,",")),
  IF(SUM(--ISNUMBER(SEARCH(_xlpm.words,_xlpm.target)))&gt;0,"O","X")
)</f>
        <v>X</v>
      </c>
      <c r="T4" t="str" cm="1">
        <f t="array" ref="T4">_xlfn.LET(
  _xlpm.target,IFERROR(_xlfn.TEXTBEFORE(_xlfn.TEXTAFTER($F4,"：「"),"」("),""),
  _xlpm.words,TRIM(_xlfn.TEXTSPLIT(T$3,",")),
  IF(SUM(--ISNUMBER(SEARCH(_xlpm.words,_xlpm.target)))&gt;0,"O","X")
)</f>
        <v>X</v>
      </c>
      <c r="U4" t="str" cm="1">
        <f t="array" ref="U4">_xlfn.LET(
  _xlpm.target,IFERROR(_xlfn.TEXTBEFORE(_xlfn.TEXTAFTER($F4,"：「"),"」("),""),
  _xlpm.words,TRIM(_xlfn.TEXTSPLIT(U$3,",")),
  IF(SUM(--ISNUMBER(SEARCH(_xlpm.words,_xlpm.target)))&gt;0,"O","X")
)</f>
        <v>X</v>
      </c>
      <c r="V4" t="str" cm="1">
        <f t="array" ref="V4">_xlfn.LET(
  _xlpm.target,IFERROR(_xlfn.TEXTBEFORE(_xlfn.TEXTAFTER($F4,"：「"),"」("),""),
  _xlpm.words,TRIM(_xlfn.TEXTSPLIT(V$3,",")),
  IF(SUM(--ISNUMBER(SEARCH(_xlpm.words,_xlpm.target)))&gt;0,"O","X")
)</f>
        <v>X</v>
      </c>
      <c r="W4" t="str" cm="1">
        <f t="array" ref="W4">_xlfn.LET(
  _xlpm.target,IFERROR(_xlfn.TEXTBEFORE(_xlfn.TEXTAFTER($F4,"：「"),"」("),""),
  _xlpm.words,TRIM(_xlfn.TEXTSPLIT(W$3,",")),
  IF(SUM(--ISNUMBER(SEARCH(_xlpm.words,_xlpm.target)))&gt;0,"O","X")
)</f>
        <v>X</v>
      </c>
      <c r="X4" t="str" cm="1">
        <f t="array" ref="X4">_xlfn.LET(
  _xlpm.target,IFERROR(_xlfn.TEXTBEFORE(_xlfn.TEXTAFTER($F4,"：「"),"」("),""),
  _xlpm.words,TRIM(_xlfn.TEXTSPLIT(X$3,",")),
  IF(SUM(--ISNUMBER(SEARCH(_xlpm.words,_xlpm.target)))&gt;0,"O","X")
)</f>
        <v>X</v>
      </c>
    </row>
    <row r="5" spans="1:24">
      <c r="A5">
        <v>2</v>
      </c>
      <c r="B5" t="s">
        <v>11</v>
      </c>
      <c r="C5" t="s">
        <v>12</v>
      </c>
      <c r="D5" t="s">
        <v>13</v>
      </c>
      <c r="E5" t="s">
        <v>14</v>
      </c>
      <c r="F5" t="s">
        <v>230</v>
      </c>
      <c r="G5">
        <f>(LEN(F5)-LEN(SUBSTITUTE(F5,"帝網","")))/LEN("帝網")
 +(LEN(F5)-LEN(SUBSTITUTE(F5,"帝釋網","")))/LEN("帝釋網")
 +(LEN(F5)-LEN(SUBSTITUTE(F5,"因陀羅網","")))/LEN("因陀羅網")</f>
        <v>1</v>
      </c>
      <c r="H5" t="str">
        <f>_xlfn.TEXTBEFORE(_xlfn.TEXTAFTER(F5,"p. "),")")</f>
        <v>472a15-18</v>
      </c>
      <c r="I5">
        <f>LEN(_xlfn.TEXTBEFORE(_xlfn.TEXTAFTER(F5,"：「"),"」(CBETA"))</f>
        <v>48</v>
      </c>
      <c r="J5" t="s">
        <v>232</v>
      </c>
      <c r="K5" s="1" t="s">
        <v>231</v>
      </c>
      <c r="L5" s="1" t="s">
        <v>113</v>
      </c>
      <c r="M5" s="1" t="s">
        <v>135</v>
      </c>
      <c r="N5" s="1" t="s">
        <v>115</v>
      </c>
      <c r="O5" t="str" cm="1">
        <f t="array" ref="O5">_xlfn.LET(
  _xlpm.target,IFERROR(_xlfn.TEXTBEFORE(_xlfn.TEXTAFTER($F5,"：「"),"」("),""),
  _xlpm.words,TRIM(_xlfn.TEXTSPLIT(O$3,",")),
  IF(SUM(--ISNUMBER(SEARCH(_xlpm.words,_xlpm.target)))&gt;0,"O","X")
)</f>
        <v>X</v>
      </c>
      <c r="P5" t="str" cm="1">
        <f t="array" ref="P5">_xlfn.LET(
  _xlpm.target,IFERROR(_xlfn.TEXTBEFORE(_xlfn.TEXTAFTER($F5,"：「"),"」("),""),
  _xlpm.words,TRIM(_xlfn.TEXTSPLIT(P$3,",")),
  IF(SUM(--ISNUMBER(SEARCH(_xlpm.words,_xlpm.target)))&gt;0,"O","X")
)</f>
        <v>X</v>
      </c>
      <c r="Q5" t="str" cm="1">
        <f t="array" ref="Q5">_xlfn.LET(
  _xlpm.target,IFERROR(_xlfn.TEXTBEFORE(_xlfn.TEXTAFTER($F5,"：「"),"」("),""),
  _xlpm.words,TRIM(_xlfn.TEXTSPLIT(Q$3,",")),
  IF(SUM(--ISNUMBER(SEARCH(_xlpm.words,_xlpm.target)))&gt;0,"O","X")
)</f>
        <v>X</v>
      </c>
      <c r="R5" t="str" cm="1">
        <f t="array" ref="R5">_xlfn.LET(
  _xlpm.target,IFERROR(_xlfn.TEXTBEFORE(_xlfn.TEXTAFTER($F5,"：「"),"」("),""),
  _xlpm.words,TRIM(_xlfn.TEXTSPLIT(R$3,",")),
  IF(SUM(--ISNUMBER(SEARCH(_xlpm.words,_xlpm.target)))&gt;0,"O","X")
)</f>
        <v>X</v>
      </c>
      <c r="S5" t="str" cm="1">
        <f t="array" ref="S5">_xlfn.LET(
  _xlpm.target,IFERROR(_xlfn.TEXTBEFORE(_xlfn.TEXTAFTER($F5,"：「"),"」("),""),
  _xlpm.words,TRIM(_xlfn.TEXTSPLIT(S$3,",")),
  IF(SUM(--ISNUMBER(SEARCH(_xlpm.words,_xlpm.target)))&gt;0,"O","X")
)</f>
        <v>O</v>
      </c>
      <c r="T5" t="str" cm="1">
        <f t="array" ref="T5">_xlfn.LET(
  _xlpm.target,IFERROR(_xlfn.TEXTBEFORE(_xlfn.TEXTAFTER($F5,"：「"),"」("),""),
  _xlpm.words,TRIM(_xlfn.TEXTSPLIT(T$3,",")),
  IF(SUM(--ISNUMBER(SEARCH(_xlpm.words,_xlpm.target)))&gt;0,"O","X")
)</f>
        <v>O</v>
      </c>
      <c r="U5" t="str" cm="1">
        <f t="array" ref="U5">_xlfn.LET(
  _xlpm.target,IFERROR(_xlfn.TEXTBEFORE(_xlfn.TEXTAFTER($F5,"：「"),"」("),""),
  _xlpm.words,TRIM(_xlfn.TEXTSPLIT(U$3,",")),
  IF(SUM(--ISNUMBER(SEARCH(_xlpm.words,_xlpm.target)))&gt;0,"O","X")
)</f>
        <v>O</v>
      </c>
      <c r="V5" t="str" cm="1">
        <f t="array" ref="V5">_xlfn.LET(
  _xlpm.target,IFERROR(_xlfn.TEXTBEFORE(_xlfn.TEXTAFTER($F5,"：「"),"」("),""),
  _xlpm.words,TRIM(_xlfn.TEXTSPLIT(V$3,",")),
  IF(SUM(--ISNUMBER(SEARCH(_xlpm.words,_xlpm.target)))&gt;0,"O","X")
)</f>
        <v>X</v>
      </c>
      <c r="W5" t="str" cm="1">
        <f t="array" ref="W5">_xlfn.LET(
  _xlpm.target,IFERROR(_xlfn.TEXTBEFORE(_xlfn.TEXTAFTER($F5,"：「"),"」("),""),
  _xlpm.words,TRIM(_xlfn.TEXTSPLIT(W$3,",")),
  IF(SUM(--ISNUMBER(SEARCH(_xlpm.words,_xlpm.target)))&gt;0,"O","X")
)</f>
        <v>X</v>
      </c>
      <c r="X5" t="str" cm="1">
        <f t="array" ref="X5">_xlfn.LET(
  _xlpm.target,IFERROR(_xlfn.TEXTBEFORE(_xlfn.TEXTAFTER($F5,"：「"),"」("),""),
  _xlpm.words,TRIM(_xlfn.TEXTSPLIT(X$3,",")),
  IF(SUM(--ISNUMBER(SEARCH(_xlpm.words,_xlpm.target)))&gt;0,"O","X")
)</f>
        <v>X</v>
      </c>
    </row>
    <row r="6" spans="1:24" ht="18.75">
      <c r="A6">
        <v>3</v>
      </c>
      <c r="B6" t="s">
        <v>11</v>
      </c>
      <c r="C6" t="s">
        <v>12</v>
      </c>
      <c r="D6" t="s">
        <v>13</v>
      </c>
      <c r="E6" t="s">
        <v>14</v>
      </c>
      <c r="F6" t="s">
        <v>225</v>
      </c>
      <c r="G6">
        <f>(LEN(F6)-LEN(SUBSTITUTE(F6,"帝網","")))/LEN("帝網")
 +(LEN(F6)-LEN(SUBSTITUTE(F6,"帝釋網","")))/LEN("帝釋網")
 +(LEN(F6)-LEN(SUBSTITUTE(F6,"因陀羅網","")))/LEN("因陀羅網")</f>
        <v>1</v>
      </c>
      <c r="H6" t="str">
        <f>_xlfn.TEXTBEFORE(_xlfn.TEXTAFTER(F6,"p. "),")")</f>
        <v>545c9-16</v>
      </c>
      <c r="I6">
        <f>LEN(_xlfn.TEXTBEFORE(_xlfn.TEXTAFTER(F6,"：「"),"」(CBETA"))</f>
        <v>119</v>
      </c>
      <c r="J6" t="s">
        <v>15</v>
      </c>
      <c r="K6" s="1" t="s">
        <v>224</v>
      </c>
      <c r="L6" s="1" t="s">
        <v>113</v>
      </c>
      <c r="M6" s="1" t="s">
        <v>135</v>
      </c>
      <c r="N6" s="1" t="s">
        <v>115</v>
      </c>
      <c r="O6" t="str" cm="1">
        <f t="array" ref="O6">_xlfn.LET(
  _xlpm.target,IFERROR(_xlfn.TEXTBEFORE(_xlfn.TEXTAFTER($F6,"：「"),"」("),""),
  _xlpm.words,TRIM(_xlfn.TEXTSPLIT(O$3,",")),
  IF(SUM(--ISNUMBER(SEARCH(_xlpm.words,_xlpm.target)))&gt;0,"O","X")
)</f>
        <v>X</v>
      </c>
      <c r="P6" t="str" cm="1">
        <f t="array" ref="P6">_xlfn.LET(
  _xlpm.target,IFERROR(_xlfn.TEXTBEFORE(_xlfn.TEXTAFTER($F6,"：「"),"」("),""),
  _xlpm.words,TRIM(_xlfn.TEXTSPLIT(P$3,",")),
  IF(SUM(--ISNUMBER(SEARCH(_xlpm.words,_xlpm.target)))&gt;0,"O","X")
)</f>
        <v>O</v>
      </c>
      <c r="Q6" t="str" cm="1">
        <f t="array" ref="Q6">_xlfn.LET(
  _xlpm.target,IFERROR(_xlfn.TEXTBEFORE(_xlfn.TEXTAFTER($F6,"：「"),"」("),""),
  _xlpm.words,TRIM(_xlfn.TEXTSPLIT(Q$3,",")),
  IF(SUM(--ISNUMBER(SEARCH(_xlpm.words,_xlpm.target)))&gt;0,"O","X")
)</f>
        <v>X</v>
      </c>
      <c r="R6" t="str" cm="1">
        <f t="array" ref="R6">_xlfn.LET(
  _xlpm.target,IFERROR(_xlfn.TEXTBEFORE(_xlfn.TEXTAFTER($F6,"：「"),"」("),""),
  _xlpm.words,TRIM(_xlfn.TEXTSPLIT(R$3,",")),
  IF(SUM(--ISNUMBER(SEARCH(_xlpm.words,_xlpm.target)))&gt;0,"O","X")
)</f>
        <v>X</v>
      </c>
      <c r="S6" t="str" cm="1">
        <f t="array" ref="S6">_xlfn.LET(
  _xlpm.target,IFERROR(_xlfn.TEXTBEFORE(_xlfn.TEXTAFTER($F6,"：「"),"」("),""),
  _xlpm.words,TRIM(_xlfn.TEXTSPLIT(S$3,",")),
  IF(SUM(--ISNUMBER(SEARCH(_xlpm.words,_xlpm.target)))&gt;0,"O","X")
)</f>
        <v>X</v>
      </c>
      <c r="T6" t="str" cm="1">
        <f t="array" ref="T6">_xlfn.LET(
  _xlpm.target,IFERROR(_xlfn.TEXTBEFORE(_xlfn.TEXTAFTER($F6,"：「"),"」("),""),
  _xlpm.words,TRIM(_xlfn.TEXTSPLIT(T$3,",")),
  IF(SUM(--ISNUMBER(SEARCH(_xlpm.words,_xlpm.target)))&gt;0,"O","X")
)</f>
        <v>X</v>
      </c>
      <c r="U6" t="str" cm="1">
        <f t="array" ref="U6">_xlfn.LET(
  _xlpm.target,IFERROR(_xlfn.TEXTBEFORE(_xlfn.TEXTAFTER($F6,"：「"),"」("),""),
  _xlpm.words,TRIM(_xlfn.TEXTSPLIT(U$3,",")),
  IF(SUM(--ISNUMBER(SEARCH(_xlpm.words,_xlpm.target)))&gt;0,"O","X")
)</f>
        <v>O</v>
      </c>
      <c r="V6" t="str" cm="1">
        <f t="array" ref="V6">_xlfn.LET(
  _xlpm.target,IFERROR(_xlfn.TEXTBEFORE(_xlfn.TEXTAFTER($F6,"：「"),"」("),""),
  _xlpm.words,TRIM(_xlfn.TEXTSPLIT(V$3,",")),
  IF(SUM(--ISNUMBER(SEARCH(_xlpm.words,_xlpm.target)))&gt;0,"O","X")
)</f>
        <v>O</v>
      </c>
      <c r="W6" t="str" cm="1">
        <f t="array" ref="W6">_xlfn.LET(
  _xlpm.target,IFERROR(_xlfn.TEXTBEFORE(_xlfn.TEXTAFTER($F6,"：「"),"」("),""),
  _xlpm.words,TRIM(_xlfn.TEXTSPLIT(W$3,",")),
  IF(SUM(--ISNUMBER(SEARCH(_xlpm.words,_xlpm.target)))&gt;0,"O","X")
)</f>
        <v>X</v>
      </c>
      <c r="X6" t="str" cm="1">
        <f t="array" ref="X6">_xlfn.LET(
  _xlpm.target,IFERROR(_xlfn.TEXTBEFORE(_xlfn.TEXTAFTER($F6,"：「"),"」("),""),
  _xlpm.words,TRIM(_xlfn.TEXTSPLIT(X$3,",")),
  IF(SUM(--ISNUMBER(SEARCH(_xlpm.words,_xlpm.target)))&gt;0,"O","X")
)</f>
        <v>X</v>
      </c>
    </row>
    <row r="7" spans="1:24">
      <c r="A7">
        <v>4</v>
      </c>
      <c r="B7" t="s">
        <v>11</v>
      </c>
      <c r="C7" t="s">
        <v>12</v>
      </c>
      <c r="D7" t="s">
        <v>13</v>
      </c>
      <c r="E7" t="s">
        <v>14</v>
      </c>
      <c r="F7" t="s">
        <v>16</v>
      </c>
      <c r="G7">
        <f>(LEN(F7)-LEN(SUBSTITUTE(F7,"帝網","")))/LEN("帝網")
 +(LEN(F7)-LEN(SUBSTITUTE(F7,"帝釋網","")))/LEN("帝釋網")
 +(LEN(F7)-LEN(SUBSTITUTE(F7,"因陀羅網","")))/LEN("因陀羅網")</f>
        <v>1</v>
      </c>
      <c r="H7" t="str">
        <f>_xlfn.TEXTBEFORE(_xlfn.TEXTAFTER(F7,"p. "),")")</f>
        <v>597c23-24</v>
      </c>
      <c r="I7">
        <f>LEN(_xlfn.TEXTBEFORE(_xlfn.TEXTAFTER(F7,"：「"),"」(CBETA"))</f>
        <v>24</v>
      </c>
      <c r="J7" t="s">
        <v>15</v>
      </c>
      <c r="K7" s="1"/>
      <c r="L7" s="1" t="s">
        <v>113</v>
      </c>
      <c r="M7" s="1" t="s">
        <v>135</v>
      </c>
      <c r="N7" s="1" t="s">
        <v>115</v>
      </c>
      <c r="O7" t="str" cm="1">
        <f t="array" ref="O7">_xlfn.LET(
  _xlpm.target,IFERROR(_xlfn.TEXTBEFORE(_xlfn.TEXTAFTER($F7,"：「"),"」("),""),
  _xlpm.words,TRIM(_xlfn.TEXTSPLIT(O$3,",")),
  IF(SUM(--ISNUMBER(SEARCH(_xlpm.words,_xlpm.target)))&gt;0,"O","X")
)</f>
        <v>X</v>
      </c>
      <c r="P7" t="str" cm="1">
        <f t="array" ref="P7">_xlfn.LET(
  _xlpm.target,IFERROR(_xlfn.TEXTBEFORE(_xlfn.TEXTAFTER($F7,"：「"),"」("),""),
  _xlpm.words,TRIM(_xlfn.TEXTSPLIT(P$3,",")),
  IF(SUM(--ISNUMBER(SEARCH(_xlpm.words,_xlpm.target)))&gt;0,"O","X")
)</f>
        <v>X</v>
      </c>
      <c r="Q7" t="str" cm="1">
        <f t="array" ref="Q7">_xlfn.LET(
  _xlpm.target,IFERROR(_xlfn.TEXTBEFORE(_xlfn.TEXTAFTER($F7,"：「"),"」("),""),
  _xlpm.words,TRIM(_xlfn.TEXTSPLIT(Q$3,",")),
  IF(SUM(--ISNUMBER(SEARCH(_xlpm.words,_xlpm.target)))&gt;0,"O","X")
)</f>
        <v>X</v>
      </c>
      <c r="R7" t="str" cm="1">
        <f t="array" ref="R7">_xlfn.LET(
  _xlpm.target,IFERROR(_xlfn.TEXTBEFORE(_xlfn.TEXTAFTER($F7,"：「"),"」("),""),
  _xlpm.words,TRIM(_xlfn.TEXTSPLIT(R$3,",")),
  IF(SUM(--ISNUMBER(SEARCH(_xlpm.words,_xlpm.target)))&gt;0,"O","X")
)</f>
        <v>X</v>
      </c>
      <c r="S7" t="str" cm="1">
        <f t="array" ref="S7">_xlfn.LET(
  _xlpm.target,IFERROR(_xlfn.TEXTBEFORE(_xlfn.TEXTAFTER($F7,"：「"),"」("),""),
  _xlpm.words,TRIM(_xlfn.TEXTSPLIT(S$3,",")),
  IF(SUM(--ISNUMBER(SEARCH(_xlpm.words,_xlpm.target)))&gt;0,"O","X")
)</f>
        <v>X</v>
      </c>
      <c r="T7" t="str" cm="1">
        <f t="array" ref="T7">_xlfn.LET(
  _xlpm.target,IFERROR(_xlfn.TEXTBEFORE(_xlfn.TEXTAFTER($F7,"：「"),"」("),""),
  _xlpm.words,TRIM(_xlfn.TEXTSPLIT(T$3,",")),
  IF(SUM(--ISNUMBER(SEARCH(_xlpm.words,_xlpm.target)))&gt;0,"O","X")
)</f>
        <v>X</v>
      </c>
      <c r="U7" t="str" cm="1">
        <f t="array" ref="U7">_xlfn.LET(
  _xlpm.target,IFERROR(_xlfn.TEXTBEFORE(_xlfn.TEXTAFTER($F7,"：「"),"」("),""),
  _xlpm.words,TRIM(_xlfn.TEXTSPLIT(U$3,",")),
  IF(SUM(--ISNUMBER(SEARCH(_xlpm.words,_xlpm.target)))&gt;0,"O","X")
)</f>
        <v>O</v>
      </c>
      <c r="V7" t="str" cm="1">
        <f t="array" ref="V7">_xlfn.LET(
  _xlpm.target,IFERROR(_xlfn.TEXTBEFORE(_xlfn.TEXTAFTER($F7,"：「"),"」("),""),
  _xlpm.words,TRIM(_xlfn.TEXTSPLIT(V$3,",")),
  IF(SUM(--ISNUMBER(SEARCH(_xlpm.words,_xlpm.target)))&gt;0,"O","X")
)</f>
        <v>O</v>
      </c>
      <c r="W7" t="str" cm="1">
        <f t="array" ref="W7">_xlfn.LET(
  _xlpm.target,IFERROR(_xlfn.TEXTBEFORE(_xlfn.TEXTAFTER($F7,"：「"),"」("),""),
  _xlpm.words,TRIM(_xlfn.TEXTSPLIT(W$3,",")),
  IF(SUM(--ISNUMBER(SEARCH(_xlpm.words,_xlpm.target)))&gt;0,"O","X")
)</f>
        <v>X</v>
      </c>
      <c r="X7" t="str" cm="1">
        <f t="array" ref="X7">_xlfn.LET(
  _xlpm.target,IFERROR(_xlfn.TEXTBEFORE(_xlfn.TEXTAFTER($F7,"：「"),"」("),""),
  _xlpm.words,TRIM(_xlfn.TEXTSPLIT(X$3,",")),
  IF(SUM(--ISNUMBER(SEARCH(_xlpm.words,_xlpm.target)))&gt;0,"O","X")
)</f>
        <v>X</v>
      </c>
    </row>
    <row r="8" spans="1:24">
      <c r="A8">
        <v>5</v>
      </c>
      <c r="B8" t="s">
        <v>11</v>
      </c>
      <c r="C8" t="s">
        <v>12</v>
      </c>
      <c r="D8" t="s">
        <v>13</v>
      </c>
      <c r="E8" t="s">
        <v>14</v>
      </c>
      <c r="F8" t="s">
        <v>97</v>
      </c>
      <c r="G8">
        <f>(LEN(F8)-LEN(SUBSTITUTE(F8,"帝網","")))/LEN("帝網")
 +(LEN(F8)-LEN(SUBSTITUTE(F8,"帝釋網","")))/LEN("帝釋網")
 +(LEN(F8)-LEN(SUBSTITUTE(F8,"因陀羅網","")))/LEN("因陀羅網")</f>
        <v>1</v>
      </c>
      <c r="H8" t="str">
        <f>_xlfn.TEXTBEFORE(_xlfn.TEXTAFTER(F8,"p. "),")")</f>
        <v>685a1-2</v>
      </c>
      <c r="I8">
        <f>LEN(_xlfn.TEXTBEFORE(_xlfn.TEXTAFTER(F8,"：「"),"」(CBETA"))</f>
        <v>17</v>
      </c>
      <c r="J8" t="s">
        <v>93</v>
      </c>
      <c r="K8" s="1"/>
      <c r="L8" s="1" t="s">
        <v>113</v>
      </c>
      <c r="M8" s="1" t="s">
        <v>135</v>
      </c>
      <c r="N8" s="1" t="s">
        <v>115</v>
      </c>
      <c r="O8" t="str" cm="1">
        <f t="array" ref="O8">_xlfn.LET(
  _xlpm.target,IFERROR(_xlfn.TEXTBEFORE(_xlfn.TEXTAFTER($F8,"：「"),"」("),""),
  _xlpm.words,TRIM(_xlfn.TEXTSPLIT(O$3,",")),
  IF(SUM(--ISNUMBER(SEARCH(_xlpm.words,_xlpm.target)))&gt;0,"O","X")
)</f>
        <v>X</v>
      </c>
      <c r="P8" t="str" cm="1">
        <f t="array" ref="P8">_xlfn.LET(
  _xlpm.target,IFERROR(_xlfn.TEXTBEFORE(_xlfn.TEXTAFTER($F8,"：「"),"」("),""),
  _xlpm.words,TRIM(_xlfn.TEXTSPLIT(P$3,",")),
  IF(SUM(--ISNUMBER(SEARCH(_xlpm.words,_xlpm.target)))&gt;0,"O","X")
)</f>
        <v>X</v>
      </c>
      <c r="Q8" t="str" cm="1">
        <f t="array" ref="Q8">_xlfn.LET(
  _xlpm.target,IFERROR(_xlfn.TEXTBEFORE(_xlfn.TEXTAFTER($F8,"：「"),"」("),""),
  _xlpm.words,TRIM(_xlfn.TEXTSPLIT(Q$3,",")),
  IF(SUM(--ISNUMBER(SEARCH(_xlpm.words,_xlpm.target)))&gt;0,"O","X")
)</f>
        <v>X</v>
      </c>
      <c r="R8" t="str" cm="1">
        <f t="array" ref="R8">_xlfn.LET(
  _xlpm.target,IFERROR(_xlfn.TEXTBEFORE(_xlfn.TEXTAFTER($F8,"：「"),"」("),""),
  _xlpm.words,TRIM(_xlfn.TEXTSPLIT(R$3,",")),
  IF(SUM(--ISNUMBER(SEARCH(_xlpm.words,_xlpm.target)))&gt;0,"O","X")
)</f>
        <v>X</v>
      </c>
      <c r="S8" t="str" cm="1">
        <f t="array" ref="S8">_xlfn.LET(
  _xlpm.target,IFERROR(_xlfn.TEXTBEFORE(_xlfn.TEXTAFTER($F8,"：「"),"」("),""),
  _xlpm.words,TRIM(_xlfn.TEXTSPLIT(S$3,",")),
  IF(SUM(--ISNUMBER(SEARCH(_xlpm.words,_xlpm.target)))&gt;0,"O","X")
)</f>
        <v>X</v>
      </c>
      <c r="T8" t="str" cm="1">
        <f t="array" ref="T8">_xlfn.LET(
  _xlpm.target,IFERROR(_xlfn.TEXTBEFORE(_xlfn.TEXTAFTER($F8,"：「"),"」("),""),
  _xlpm.words,TRIM(_xlfn.TEXTSPLIT(T$3,",")),
  IF(SUM(--ISNUMBER(SEARCH(_xlpm.words,_xlpm.target)))&gt;0,"O","X")
)</f>
        <v>X</v>
      </c>
      <c r="U8" t="str" cm="1">
        <f t="array" ref="U8">_xlfn.LET(
  _xlpm.target,IFERROR(_xlfn.TEXTBEFORE(_xlfn.TEXTAFTER($F8,"：「"),"」("),""),
  _xlpm.words,TRIM(_xlfn.TEXTSPLIT(U$3,",")),
  IF(SUM(--ISNUMBER(SEARCH(_xlpm.words,_xlpm.target)))&gt;0,"O","X")
)</f>
        <v>O</v>
      </c>
      <c r="V8" t="str" cm="1">
        <f t="array" ref="V8">_xlfn.LET(
  _xlpm.target,IFERROR(_xlfn.TEXTBEFORE(_xlfn.TEXTAFTER($F8,"：「"),"」("),""),
  _xlpm.words,TRIM(_xlfn.TEXTSPLIT(V$3,",")),
  IF(SUM(--ISNUMBER(SEARCH(_xlpm.words,_xlpm.target)))&gt;0,"O","X")
)</f>
        <v>X</v>
      </c>
      <c r="W8" t="str" cm="1">
        <f t="array" ref="W8">_xlfn.LET(
  _xlpm.target,IFERROR(_xlfn.TEXTBEFORE(_xlfn.TEXTAFTER($F8,"：「"),"」("),""),
  _xlpm.words,TRIM(_xlfn.TEXTSPLIT(W$3,",")),
  IF(SUM(--ISNUMBER(SEARCH(_xlpm.words,_xlpm.target)))&gt;0,"O","X")
)</f>
        <v>X</v>
      </c>
      <c r="X8" t="str" cm="1">
        <f t="array" ref="X8">_xlfn.LET(
  _xlpm.target,IFERROR(_xlfn.TEXTBEFORE(_xlfn.TEXTAFTER($F8,"：「"),"」("),""),
  _xlpm.words,TRIM(_xlfn.TEXTSPLIT(X$3,",")),
  IF(SUM(--ISNUMBER(SEARCH(_xlpm.words,_xlpm.target)))&gt;0,"O","X")
)</f>
        <v>X</v>
      </c>
    </row>
    <row r="9" spans="1:24">
      <c r="A9">
        <v>6</v>
      </c>
      <c r="B9" t="s">
        <v>11</v>
      </c>
      <c r="C9" t="s">
        <v>12</v>
      </c>
      <c r="D9" t="s">
        <v>13</v>
      </c>
      <c r="E9" t="s">
        <v>14</v>
      </c>
      <c r="F9" t="s">
        <v>17</v>
      </c>
      <c r="G9">
        <f>(LEN(F9)-LEN(SUBSTITUTE(F9,"帝網","")))/LEN("帝網")
 +(LEN(F9)-LEN(SUBSTITUTE(F9,"帝釋網","")))/LEN("帝釋網")
 +(LEN(F9)-LEN(SUBSTITUTE(F9,"因陀羅網","")))/LEN("因陀羅網")</f>
        <v>1</v>
      </c>
      <c r="H9" t="str">
        <f>_xlfn.TEXTBEFORE(_xlfn.TEXTAFTER(F9,"p. "),")")</f>
        <v>703a23-24</v>
      </c>
      <c r="I9">
        <f>LEN(_xlfn.TEXTBEFORE(_xlfn.TEXTAFTER(F9,"：「"),"」(CBETA"))</f>
        <v>9</v>
      </c>
      <c r="J9" t="s">
        <v>93</v>
      </c>
      <c r="K9" s="1"/>
      <c r="L9" s="1" t="s">
        <v>113</v>
      </c>
      <c r="M9" s="1" t="s">
        <v>135</v>
      </c>
      <c r="N9" s="1" t="s">
        <v>115</v>
      </c>
      <c r="O9" t="str" cm="1">
        <f t="array" ref="O9">_xlfn.LET(
  _xlpm.target,IFERROR(_xlfn.TEXTBEFORE(_xlfn.TEXTAFTER($F9,"：「"),"」("),""),
  _xlpm.words,TRIM(_xlfn.TEXTSPLIT(O$3,",")),
  IF(SUM(--ISNUMBER(SEARCH(_xlpm.words,_xlpm.target)))&gt;0,"O","X")
)</f>
        <v>X</v>
      </c>
      <c r="P9" t="str" cm="1">
        <f t="array" ref="P9">_xlfn.LET(
  _xlpm.target,IFERROR(_xlfn.TEXTBEFORE(_xlfn.TEXTAFTER($F9,"：「"),"」("),""),
  _xlpm.words,TRIM(_xlfn.TEXTSPLIT(P$3,",")),
  IF(SUM(--ISNUMBER(SEARCH(_xlpm.words,_xlpm.target)))&gt;0,"O","X")
)</f>
        <v>X</v>
      </c>
      <c r="Q9" t="str" cm="1">
        <f t="array" ref="Q9">_xlfn.LET(
  _xlpm.target,IFERROR(_xlfn.TEXTBEFORE(_xlfn.TEXTAFTER($F9,"：「"),"」("),""),
  _xlpm.words,TRIM(_xlfn.TEXTSPLIT(Q$3,",")),
  IF(SUM(--ISNUMBER(SEARCH(_xlpm.words,_xlpm.target)))&gt;0,"O","X")
)</f>
        <v>X</v>
      </c>
      <c r="R9" t="str" cm="1">
        <f t="array" ref="R9">_xlfn.LET(
  _xlpm.target,IFERROR(_xlfn.TEXTBEFORE(_xlfn.TEXTAFTER($F9,"：「"),"」("),""),
  _xlpm.words,TRIM(_xlfn.TEXTSPLIT(R$3,",")),
  IF(SUM(--ISNUMBER(SEARCH(_xlpm.words,_xlpm.target)))&gt;0,"O","X")
)</f>
        <v>X</v>
      </c>
      <c r="S9" t="str" cm="1">
        <f t="array" ref="S9">_xlfn.LET(
  _xlpm.target,IFERROR(_xlfn.TEXTBEFORE(_xlfn.TEXTAFTER($F9,"：「"),"」("),""),
  _xlpm.words,TRIM(_xlfn.TEXTSPLIT(S$3,",")),
  IF(SUM(--ISNUMBER(SEARCH(_xlpm.words,_xlpm.target)))&gt;0,"O","X")
)</f>
        <v>X</v>
      </c>
      <c r="T9" t="str" cm="1">
        <f t="array" ref="T9">_xlfn.LET(
  _xlpm.target,IFERROR(_xlfn.TEXTBEFORE(_xlfn.TEXTAFTER($F9,"：「"),"」("),""),
  _xlpm.words,TRIM(_xlfn.TEXTSPLIT(T$3,",")),
  IF(SUM(--ISNUMBER(SEARCH(_xlpm.words,_xlpm.target)))&gt;0,"O","X")
)</f>
        <v>X</v>
      </c>
      <c r="U9" t="str" cm="1">
        <f t="array" ref="U9">_xlfn.LET(
  _xlpm.target,IFERROR(_xlfn.TEXTBEFORE(_xlfn.TEXTAFTER($F9,"：「"),"」("),""),
  _xlpm.words,TRIM(_xlfn.TEXTSPLIT(U$3,",")),
  IF(SUM(--ISNUMBER(SEARCH(_xlpm.words,_xlpm.target)))&gt;0,"O","X")
)</f>
        <v>X</v>
      </c>
      <c r="V9" t="str" cm="1">
        <f t="array" ref="V9">_xlfn.LET(
  _xlpm.target,IFERROR(_xlfn.TEXTBEFORE(_xlfn.TEXTAFTER($F9,"：「"),"」("),""),
  _xlpm.words,TRIM(_xlfn.TEXTSPLIT(V$3,",")),
  IF(SUM(--ISNUMBER(SEARCH(_xlpm.words,_xlpm.target)))&gt;0,"O","X")
)</f>
        <v>X</v>
      </c>
      <c r="W9" t="str" cm="1">
        <f t="array" ref="W9">_xlfn.LET(
  _xlpm.target,IFERROR(_xlfn.TEXTBEFORE(_xlfn.TEXTAFTER($F9,"：「"),"」("),""),
  _xlpm.words,TRIM(_xlfn.TEXTSPLIT(W$3,",")),
  IF(SUM(--ISNUMBER(SEARCH(_xlpm.words,_xlpm.target)))&gt;0,"O","X")
)</f>
        <v>X</v>
      </c>
      <c r="X9" t="str" cm="1">
        <f t="array" ref="X9">_xlfn.LET(
  _xlpm.target,IFERROR(_xlfn.TEXTBEFORE(_xlfn.TEXTAFTER($F9,"：「"),"」("),""),
  _xlpm.words,TRIM(_xlfn.TEXTSPLIT(X$3,",")),
  IF(SUM(--ISNUMBER(SEARCH(_xlpm.words,_xlpm.target)))&gt;0,"O","X")
)</f>
        <v>X</v>
      </c>
    </row>
    <row r="10" spans="1:24" ht="18">
      <c r="A10">
        <v>7</v>
      </c>
      <c r="B10" t="s">
        <v>11</v>
      </c>
      <c r="C10" t="s">
        <v>12</v>
      </c>
      <c r="D10" t="s">
        <v>13</v>
      </c>
      <c r="E10" t="s">
        <v>14</v>
      </c>
      <c r="F10" t="s">
        <v>92</v>
      </c>
      <c r="G10">
        <f>(LEN(F10)-LEN(SUBSTITUTE(F10,"帝網","")))/LEN("帝網")
 +(LEN(F10)-LEN(SUBSTITUTE(F10,"帝釋網","")))/LEN("帝釋網")
 +(LEN(F10)-LEN(SUBSTITUTE(F10,"因陀羅網","")))/LEN("因陀羅網")</f>
        <v>1</v>
      </c>
      <c r="H10" t="str">
        <f>_xlfn.TEXTBEFORE(_xlfn.TEXTAFTER(F10,"p. "),")")</f>
        <v>704a22-24</v>
      </c>
      <c r="I10">
        <f>LEN(_xlfn.TEXTBEFORE(_xlfn.TEXTAFTER(F10,"：「"),"」(CBETA"))</f>
        <v>35</v>
      </c>
      <c r="J10" t="s">
        <v>15</v>
      </c>
      <c r="K10" s="1"/>
      <c r="L10" s="1" t="s">
        <v>113</v>
      </c>
      <c r="M10" s="1" t="s">
        <v>135</v>
      </c>
      <c r="N10" s="1" t="s">
        <v>115</v>
      </c>
      <c r="O10" t="str" cm="1">
        <f t="array" ref="O10">_xlfn.LET(
  _xlpm.target,IFERROR(_xlfn.TEXTBEFORE(_xlfn.TEXTAFTER($F10,"：「"),"」("),""),
  _xlpm.words,TRIM(_xlfn.TEXTSPLIT(O$3,",")),
  IF(SUM(--ISNUMBER(SEARCH(_xlpm.words,_xlpm.target)))&gt;0,"O","X")
)</f>
        <v>X</v>
      </c>
      <c r="P10" t="str" cm="1">
        <f t="array" ref="P10">_xlfn.LET(
  _xlpm.target,IFERROR(_xlfn.TEXTBEFORE(_xlfn.TEXTAFTER($F10,"：「"),"」("),""),
  _xlpm.words,TRIM(_xlfn.TEXTSPLIT(P$3,",")),
  IF(SUM(--ISNUMBER(SEARCH(_xlpm.words,_xlpm.target)))&gt;0,"O","X")
)</f>
        <v>X</v>
      </c>
      <c r="Q10" t="str" cm="1">
        <f t="array" ref="Q10">_xlfn.LET(
  _xlpm.target,IFERROR(_xlfn.TEXTBEFORE(_xlfn.TEXTAFTER($F10,"：「"),"」("),""),
  _xlpm.words,TRIM(_xlfn.TEXTSPLIT(Q$3,",")),
  IF(SUM(--ISNUMBER(SEARCH(_xlpm.words,_xlpm.target)))&gt;0,"O","X")
)</f>
        <v>X</v>
      </c>
      <c r="R10" t="str" cm="1">
        <f t="array" ref="R10">_xlfn.LET(
  _xlpm.target,IFERROR(_xlfn.TEXTBEFORE(_xlfn.TEXTAFTER($F10,"：「"),"」("),""),
  _xlpm.words,TRIM(_xlfn.TEXTSPLIT(R$3,",")),
  IF(SUM(--ISNUMBER(SEARCH(_xlpm.words,_xlpm.target)))&gt;0,"O","X")
)</f>
        <v>X</v>
      </c>
      <c r="S10" t="str" cm="1">
        <f t="array" ref="S10">_xlfn.LET(
  _xlpm.target,IFERROR(_xlfn.TEXTBEFORE(_xlfn.TEXTAFTER($F10,"：「"),"」("),""),
  _xlpm.words,TRIM(_xlfn.TEXTSPLIT(S$3,",")),
  IF(SUM(--ISNUMBER(SEARCH(_xlpm.words,_xlpm.target)))&gt;0,"O","X")
)</f>
        <v>X</v>
      </c>
      <c r="T10" t="str" cm="1">
        <f t="array" ref="T10">_xlfn.LET(
  _xlpm.target,IFERROR(_xlfn.TEXTBEFORE(_xlfn.TEXTAFTER($F10,"：「"),"」("),""),
  _xlpm.words,TRIM(_xlfn.TEXTSPLIT(T$3,",")),
  IF(SUM(--ISNUMBER(SEARCH(_xlpm.words,_xlpm.target)))&gt;0,"O","X")
)</f>
        <v>X</v>
      </c>
      <c r="U10" t="str" cm="1">
        <f t="array" ref="U10">_xlfn.LET(
  _xlpm.target,IFERROR(_xlfn.TEXTBEFORE(_xlfn.TEXTAFTER($F10,"：「"),"」("),""),
  _xlpm.words,TRIM(_xlfn.TEXTSPLIT(U$3,",")),
  IF(SUM(--ISNUMBER(SEARCH(_xlpm.words,_xlpm.target)))&gt;0,"O","X")
)</f>
        <v>X</v>
      </c>
      <c r="V10" t="str" cm="1">
        <f t="array" ref="V10">_xlfn.LET(
  _xlpm.target,IFERROR(_xlfn.TEXTBEFORE(_xlfn.TEXTAFTER($F10,"：「"),"」("),""),
  _xlpm.words,TRIM(_xlfn.TEXTSPLIT(V$3,",")),
  IF(SUM(--ISNUMBER(SEARCH(_xlpm.words,_xlpm.target)))&gt;0,"O","X")
)</f>
        <v>X</v>
      </c>
      <c r="W10" t="str" cm="1">
        <f t="array" ref="W10">_xlfn.LET(
  _xlpm.target,IFERROR(_xlfn.TEXTBEFORE(_xlfn.TEXTAFTER($F10,"：「"),"」("),""),
  _xlpm.words,TRIM(_xlfn.TEXTSPLIT(W$3,",")),
  IF(SUM(--ISNUMBER(SEARCH(_xlpm.words,_xlpm.target)))&gt;0,"O","X")
)</f>
        <v>X</v>
      </c>
      <c r="X10" t="str" cm="1">
        <f t="array" ref="X10">_xlfn.LET(
  _xlpm.target,IFERROR(_xlfn.TEXTBEFORE(_xlfn.TEXTAFTER($F10,"：「"),"」("),""),
  _xlpm.words,TRIM(_xlfn.TEXTSPLIT(X$3,",")),
  IF(SUM(--ISNUMBER(SEARCH(_xlpm.words,_xlpm.target)))&gt;0,"O","X")
)</f>
        <v>X</v>
      </c>
    </row>
    <row r="11" spans="1:24">
      <c r="A11">
        <v>8</v>
      </c>
      <c r="B11" t="s">
        <v>11</v>
      </c>
      <c r="C11" t="s">
        <v>12</v>
      </c>
      <c r="D11" t="s">
        <v>13</v>
      </c>
      <c r="E11" t="s">
        <v>14</v>
      </c>
      <c r="F11" t="s">
        <v>101</v>
      </c>
      <c r="G11">
        <f>(LEN(F11)-LEN(SUBSTITUTE(F11,"帝網","")))/LEN("帝網")
 +(LEN(F11)-LEN(SUBSTITUTE(F11,"帝釋網","")))/LEN("帝釋網")
 +(LEN(F11)-LEN(SUBSTITUTE(F11,"因陀羅網","")))/LEN("因陀羅網")</f>
        <v>1</v>
      </c>
      <c r="H11" t="str">
        <f>_xlfn.TEXTBEFORE(_xlfn.TEXTAFTER(F11,"p. "),")")</f>
        <v>755c15-16</v>
      </c>
      <c r="I11">
        <f>LEN(_xlfn.TEXTBEFORE(_xlfn.TEXTAFTER(F11,"：「"),"」(CBETA"))</f>
        <v>30</v>
      </c>
      <c r="J11" t="s">
        <v>15</v>
      </c>
      <c r="K11" s="1" t="s">
        <v>126</v>
      </c>
      <c r="L11" s="1" t="s">
        <v>113</v>
      </c>
      <c r="M11" s="1" t="s">
        <v>135</v>
      </c>
      <c r="N11" s="1" t="s">
        <v>115</v>
      </c>
      <c r="O11" t="str" cm="1">
        <f t="array" ref="O11">_xlfn.LET(
  _xlpm.target,IFERROR(_xlfn.TEXTBEFORE(_xlfn.TEXTAFTER($F11,"：「"),"」("),""),
  _xlpm.words,TRIM(_xlfn.TEXTSPLIT(O$3,",")),
  IF(SUM(--ISNUMBER(SEARCH(_xlpm.words,_xlpm.target)))&gt;0,"O","X")
)</f>
        <v>X</v>
      </c>
      <c r="P11" t="str" cm="1">
        <f t="array" ref="P11">_xlfn.LET(
  _xlpm.target,IFERROR(_xlfn.TEXTBEFORE(_xlfn.TEXTAFTER($F11,"：「"),"」("),""),
  _xlpm.words,TRIM(_xlfn.TEXTSPLIT(P$3,",")),
  IF(SUM(--ISNUMBER(SEARCH(_xlpm.words,_xlpm.target)))&gt;0,"O","X")
)</f>
        <v>X</v>
      </c>
      <c r="Q11" t="str" cm="1">
        <f t="array" ref="Q11">_xlfn.LET(
  _xlpm.target,IFERROR(_xlfn.TEXTBEFORE(_xlfn.TEXTAFTER($F11,"：「"),"」("),""),
  _xlpm.words,TRIM(_xlfn.TEXTSPLIT(Q$3,",")),
  IF(SUM(--ISNUMBER(SEARCH(_xlpm.words,_xlpm.target)))&gt;0,"O","X")
)</f>
        <v>X</v>
      </c>
      <c r="R11" t="str" cm="1">
        <f t="array" ref="R11">_xlfn.LET(
  _xlpm.target,IFERROR(_xlfn.TEXTBEFORE(_xlfn.TEXTAFTER($F11,"：「"),"」("),""),
  _xlpm.words,TRIM(_xlfn.TEXTSPLIT(R$3,",")),
  IF(SUM(--ISNUMBER(SEARCH(_xlpm.words,_xlpm.target)))&gt;0,"O","X")
)</f>
        <v>X</v>
      </c>
      <c r="S11" t="str" cm="1">
        <f t="array" ref="S11">_xlfn.LET(
  _xlpm.target,IFERROR(_xlfn.TEXTBEFORE(_xlfn.TEXTAFTER($F11,"：「"),"」("),""),
  _xlpm.words,TRIM(_xlfn.TEXTSPLIT(S$3,",")),
  IF(SUM(--ISNUMBER(SEARCH(_xlpm.words,_xlpm.target)))&gt;0,"O","X")
)</f>
        <v>X</v>
      </c>
      <c r="T11" t="str" cm="1">
        <f t="array" ref="T11">_xlfn.LET(
  _xlpm.target,IFERROR(_xlfn.TEXTBEFORE(_xlfn.TEXTAFTER($F11,"：「"),"」("),""),
  _xlpm.words,TRIM(_xlfn.TEXTSPLIT(T$3,",")),
  IF(SUM(--ISNUMBER(SEARCH(_xlpm.words,_xlpm.target)))&gt;0,"O","X")
)</f>
        <v>X</v>
      </c>
      <c r="U11" t="str" cm="1">
        <f t="array" ref="U11">_xlfn.LET(
  _xlpm.target,IFERROR(_xlfn.TEXTBEFORE(_xlfn.TEXTAFTER($F11,"：「"),"」("),""),
  _xlpm.words,TRIM(_xlfn.TEXTSPLIT(U$3,",")),
  IF(SUM(--ISNUMBER(SEARCH(_xlpm.words,_xlpm.target)))&gt;0,"O","X")
)</f>
        <v>X</v>
      </c>
      <c r="V11" t="str" cm="1">
        <f t="array" ref="V11">_xlfn.LET(
  _xlpm.target,IFERROR(_xlfn.TEXTBEFORE(_xlfn.TEXTAFTER($F11,"：「"),"」("),""),
  _xlpm.words,TRIM(_xlfn.TEXTSPLIT(V$3,",")),
  IF(SUM(--ISNUMBER(SEARCH(_xlpm.words,_xlpm.target)))&gt;0,"O","X")
)</f>
        <v>O</v>
      </c>
      <c r="W11" t="str" cm="1">
        <f t="array" ref="W11">_xlfn.LET(
  _xlpm.target,IFERROR(_xlfn.TEXTBEFORE(_xlfn.TEXTAFTER($F11,"：「"),"」("),""),
  _xlpm.words,TRIM(_xlfn.TEXTSPLIT(W$3,",")),
  IF(SUM(--ISNUMBER(SEARCH(_xlpm.words,_xlpm.target)))&gt;0,"O","X")
)</f>
        <v>X</v>
      </c>
      <c r="X11" t="str" cm="1">
        <f t="array" ref="X11">_xlfn.LET(
  _xlpm.target,IFERROR(_xlfn.TEXTBEFORE(_xlfn.TEXTAFTER($F11,"：「"),"」("),""),
  _xlpm.words,TRIM(_xlfn.TEXTSPLIT(X$3,",")),
  IF(SUM(--ISNUMBER(SEARCH(_xlpm.words,_xlpm.target)))&gt;0,"O","X")
)</f>
        <v>X</v>
      </c>
    </row>
    <row r="12" spans="1:24">
      <c r="A12">
        <v>9</v>
      </c>
      <c r="B12" t="s">
        <v>11</v>
      </c>
      <c r="C12" t="s">
        <v>12</v>
      </c>
      <c r="D12" t="s">
        <v>13</v>
      </c>
      <c r="E12" t="s">
        <v>14</v>
      </c>
      <c r="F12" t="s">
        <v>102</v>
      </c>
      <c r="G12">
        <f>(LEN(F12)-LEN(SUBSTITUTE(F12,"帝網","")))/LEN("帝網")
 +(LEN(F12)-LEN(SUBSTITUTE(F12,"帝釋網","")))/LEN("帝釋網")
 +(LEN(F12)-LEN(SUBSTITUTE(F12,"因陀羅網","")))/LEN("因陀羅網")</f>
        <v>1</v>
      </c>
      <c r="H12" t="str">
        <f>_xlfn.TEXTBEFORE(_xlfn.TEXTAFTER(F12,"p. "),")")</f>
        <v>772c28-773a1</v>
      </c>
      <c r="I12">
        <f>LEN(_xlfn.TEXTBEFORE(_xlfn.TEXTAFTER(F12,"：「"),"」(CBETA"))</f>
        <v>28</v>
      </c>
      <c r="J12" t="s">
        <v>94</v>
      </c>
      <c r="K12" s="1" t="s">
        <v>233</v>
      </c>
      <c r="L12" s="1" t="s">
        <v>113</v>
      </c>
      <c r="M12" s="1" t="s">
        <v>135</v>
      </c>
      <c r="N12" s="1" t="s">
        <v>115</v>
      </c>
      <c r="O12" t="str" cm="1">
        <f t="array" ref="O12">_xlfn.LET(
  _xlpm.target,IFERROR(_xlfn.TEXTBEFORE(_xlfn.TEXTAFTER($F12,"：「"),"」("),""),
  _xlpm.words,TRIM(_xlfn.TEXTSPLIT(O$3,",")),
  IF(SUM(--ISNUMBER(SEARCH(_xlpm.words,_xlpm.target)))&gt;0,"O","X")
)</f>
        <v>X</v>
      </c>
      <c r="P12" t="str" cm="1">
        <f t="array" ref="P12">_xlfn.LET(
  _xlpm.target,IFERROR(_xlfn.TEXTBEFORE(_xlfn.TEXTAFTER($F12,"：「"),"」("),""),
  _xlpm.words,TRIM(_xlfn.TEXTSPLIT(P$3,",")),
  IF(SUM(--ISNUMBER(SEARCH(_xlpm.words,_xlpm.target)))&gt;0,"O","X")
)</f>
        <v>X</v>
      </c>
      <c r="Q12" t="str" cm="1">
        <f t="array" ref="Q12">_xlfn.LET(
  _xlpm.target,IFERROR(_xlfn.TEXTBEFORE(_xlfn.TEXTAFTER($F12,"：「"),"」("),""),
  _xlpm.words,TRIM(_xlfn.TEXTSPLIT(Q$3,",")),
  IF(SUM(--ISNUMBER(SEARCH(_xlpm.words,_xlpm.target)))&gt;0,"O","X")
)</f>
        <v>X</v>
      </c>
      <c r="R12" t="str" cm="1">
        <f t="array" ref="R12">_xlfn.LET(
  _xlpm.target,IFERROR(_xlfn.TEXTBEFORE(_xlfn.TEXTAFTER($F12,"：「"),"」("),""),
  _xlpm.words,TRIM(_xlfn.TEXTSPLIT(R$3,",")),
  IF(SUM(--ISNUMBER(SEARCH(_xlpm.words,_xlpm.target)))&gt;0,"O","X")
)</f>
        <v>X</v>
      </c>
      <c r="S12" t="str" cm="1">
        <f t="array" ref="S12">_xlfn.LET(
  _xlpm.target,IFERROR(_xlfn.TEXTBEFORE(_xlfn.TEXTAFTER($F12,"：「"),"」("),""),
  _xlpm.words,TRIM(_xlfn.TEXTSPLIT(S$3,",")),
  IF(SUM(--ISNUMBER(SEARCH(_xlpm.words,_xlpm.target)))&gt;0,"O","X")
)</f>
        <v>O</v>
      </c>
      <c r="T12" t="str" cm="1">
        <f t="array" ref="T12">_xlfn.LET(
  _xlpm.target,IFERROR(_xlfn.TEXTBEFORE(_xlfn.TEXTAFTER($F12,"：「"),"」("),""),
  _xlpm.words,TRIM(_xlfn.TEXTSPLIT(T$3,",")),
  IF(SUM(--ISNUMBER(SEARCH(_xlpm.words,_xlpm.target)))&gt;0,"O","X")
)</f>
        <v>O</v>
      </c>
      <c r="U12" t="str" cm="1">
        <f t="array" ref="U12">_xlfn.LET(
  _xlpm.target,IFERROR(_xlfn.TEXTBEFORE(_xlfn.TEXTAFTER($F12,"：「"),"」("),""),
  _xlpm.words,TRIM(_xlfn.TEXTSPLIT(U$3,",")),
  IF(SUM(--ISNUMBER(SEARCH(_xlpm.words,_xlpm.target)))&gt;0,"O","X")
)</f>
        <v>O</v>
      </c>
      <c r="V12" t="str" cm="1">
        <f t="array" ref="V12">_xlfn.LET(
  _xlpm.target,IFERROR(_xlfn.TEXTBEFORE(_xlfn.TEXTAFTER($F12,"：「"),"」("),""),
  _xlpm.words,TRIM(_xlfn.TEXTSPLIT(V$3,",")),
  IF(SUM(--ISNUMBER(SEARCH(_xlpm.words,_xlpm.target)))&gt;0,"O","X")
)</f>
        <v>X</v>
      </c>
      <c r="W12" t="str" cm="1">
        <f t="array" ref="W12">_xlfn.LET(
  _xlpm.target,IFERROR(_xlfn.TEXTBEFORE(_xlfn.TEXTAFTER($F12,"：「"),"」("),""),
  _xlpm.words,TRIM(_xlfn.TEXTSPLIT(W$3,",")),
  IF(SUM(--ISNUMBER(SEARCH(_xlpm.words,_xlpm.target)))&gt;0,"O","X")
)</f>
        <v>X</v>
      </c>
      <c r="X12" t="str" cm="1">
        <f t="array" ref="X12">_xlfn.LET(
  _xlpm.target,IFERROR(_xlfn.TEXTBEFORE(_xlfn.TEXTAFTER($F12,"：「"),"」("),""),
  _xlpm.words,TRIM(_xlfn.TEXTSPLIT(X$3,",")),
  IF(SUM(--ISNUMBER(SEARCH(_xlpm.words,_xlpm.target)))&gt;0,"O","X")
)</f>
        <v>X</v>
      </c>
    </row>
    <row r="13" spans="1:24">
      <c r="A13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18</v>
      </c>
      <c r="G13">
        <f>(LEN(F13)-LEN(SUBSTITUTE(F13,"帝網","")))/LEN("帝網")
 +(LEN(F13)-LEN(SUBSTITUTE(F13,"帝釋網","")))/LEN("帝釋網")
 +(LEN(F13)-LEN(SUBSTITUTE(F13,"因陀羅網","")))/LEN("因陀羅網")</f>
        <v>1</v>
      </c>
      <c r="H13" t="str">
        <f>_xlfn.TEXTBEFORE(_xlfn.TEXTAFTER(F13,"p. "),")")</f>
        <v>776c19-20</v>
      </c>
      <c r="I13">
        <f>LEN(_xlfn.TEXTBEFORE(_xlfn.TEXTAFTER(F13,"：「"),"」(CBETA"))</f>
        <v>20</v>
      </c>
      <c r="J13" t="s">
        <v>15</v>
      </c>
      <c r="K13" s="1"/>
      <c r="L13" s="1" t="s">
        <v>113</v>
      </c>
      <c r="M13" s="1" t="s">
        <v>135</v>
      </c>
      <c r="N13" s="1" t="s">
        <v>115</v>
      </c>
      <c r="O13" t="str" cm="1">
        <f t="array" ref="O13">_xlfn.LET(
  _xlpm.target,IFERROR(_xlfn.TEXTBEFORE(_xlfn.TEXTAFTER($F13,"：「"),"」("),""),
  _xlpm.words,TRIM(_xlfn.TEXTSPLIT(O$3,",")),
  IF(SUM(--ISNUMBER(SEARCH(_xlpm.words,_xlpm.target)))&gt;0,"O","X")
)</f>
        <v>X</v>
      </c>
      <c r="P13" t="str" cm="1">
        <f t="array" ref="P13">_xlfn.LET(
  _xlpm.target,IFERROR(_xlfn.TEXTBEFORE(_xlfn.TEXTAFTER($F13,"：「"),"」("),""),
  _xlpm.words,TRIM(_xlfn.TEXTSPLIT(P$3,",")),
  IF(SUM(--ISNUMBER(SEARCH(_xlpm.words,_xlpm.target)))&gt;0,"O","X")
)</f>
        <v>X</v>
      </c>
      <c r="Q13" t="str" cm="1">
        <f t="array" ref="Q13">_xlfn.LET(
  _xlpm.target,IFERROR(_xlfn.TEXTBEFORE(_xlfn.TEXTAFTER($F13,"：「"),"」("),""),
  _xlpm.words,TRIM(_xlfn.TEXTSPLIT(Q$3,",")),
  IF(SUM(--ISNUMBER(SEARCH(_xlpm.words,_xlpm.target)))&gt;0,"O","X")
)</f>
        <v>X</v>
      </c>
      <c r="R13" t="str" cm="1">
        <f t="array" ref="R13">_xlfn.LET(
  _xlpm.target,IFERROR(_xlfn.TEXTBEFORE(_xlfn.TEXTAFTER($F13,"：「"),"」("),""),
  _xlpm.words,TRIM(_xlfn.TEXTSPLIT(R$3,",")),
  IF(SUM(--ISNUMBER(SEARCH(_xlpm.words,_xlpm.target)))&gt;0,"O","X")
)</f>
        <v>X</v>
      </c>
      <c r="S13" t="str" cm="1">
        <f t="array" ref="S13">_xlfn.LET(
  _xlpm.target,IFERROR(_xlfn.TEXTBEFORE(_xlfn.TEXTAFTER($F13,"：「"),"」("),""),
  _xlpm.words,TRIM(_xlfn.TEXTSPLIT(S$3,",")),
  IF(SUM(--ISNUMBER(SEARCH(_xlpm.words,_xlpm.target)))&gt;0,"O","X")
)</f>
        <v>X</v>
      </c>
      <c r="T13" t="str" cm="1">
        <f t="array" ref="T13">_xlfn.LET(
  _xlpm.target,IFERROR(_xlfn.TEXTBEFORE(_xlfn.TEXTAFTER($F13,"：「"),"」("),""),
  _xlpm.words,TRIM(_xlfn.TEXTSPLIT(T$3,",")),
  IF(SUM(--ISNUMBER(SEARCH(_xlpm.words,_xlpm.target)))&gt;0,"O","X")
)</f>
        <v>X</v>
      </c>
      <c r="U13" t="str" cm="1">
        <f t="array" ref="U13">_xlfn.LET(
  _xlpm.target,IFERROR(_xlfn.TEXTBEFORE(_xlfn.TEXTAFTER($F13,"：「"),"」("),""),
  _xlpm.words,TRIM(_xlfn.TEXTSPLIT(U$3,",")),
  IF(SUM(--ISNUMBER(SEARCH(_xlpm.words,_xlpm.target)))&gt;0,"O","X")
)</f>
        <v>X</v>
      </c>
      <c r="V13" t="str" cm="1">
        <f t="array" ref="V13">_xlfn.LET(
  _xlpm.target,IFERROR(_xlfn.TEXTBEFORE(_xlfn.TEXTAFTER($F13,"：「"),"」("),""),
  _xlpm.words,TRIM(_xlfn.TEXTSPLIT(V$3,",")),
  IF(SUM(--ISNUMBER(SEARCH(_xlpm.words,_xlpm.target)))&gt;0,"O","X")
)</f>
        <v>X</v>
      </c>
      <c r="W13" t="str" cm="1">
        <f t="array" ref="W13">_xlfn.LET(
  _xlpm.target,IFERROR(_xlfn.TEXTBEFORE(_xlfn.TEXTAFTER($F13,"：「"),"」("),""),
  _xlpm.words,TRIM(_xlfn.TEXTSPLIT(W$3,",")),
  IF(SUM(--ISNUMBER(SEARCH(_xlpm.words,_xlpm.target)))&gt;0,"O","X")
)</f>
        <v>X</v>
      </c>
      <c r="X13" t="str" cm="1">
        <f t="array" ref="X13">_xlfn.LET(
  _xlpm.target,IFERROR(_xlfn.TEXTBEFORE(_xlfn.TEXTAFTER($F13,"：「"),"」("),""),
  _xlpm.words,TRIM(_xlfn.TEXTSPLIT(X$3,",")),
  IF(SUM(--ISNUMBER(SEARCH(_xlpm.words,_xlpm.target)))&gt;0,"O","X")
)</f>
        <v>X</v>
      </c>
    </row>
    <row r="14" spans="1:24">
      <c r="A14">
        <v>11</v>
      </c>
      <c r="B14" t="s">
        <v>11</v>
      </c>
      <c r="C14" t="s">
        <v>12</v>
      </c>
      <c r="D14" t="s">
        <v>13</v>
      </c>
      <c r="E14" t="s">
        <v>14</v>
      </c>
      <c r="F14" t="s">
        <v>103</v>
      </c>
      <c r="G14">
        <f>(LEN(F14)-LEN(SUBSTITUTE(F14,"帝網","")))/LEN("帝網")
 +(LEN(F14)-LEN(SUBSTITUTE(F14,"帝釋網","")))/LEN("帝釋網")
 +(LEN(F14)-LEN(SUBSTITUTE(F14,"因陀羅網","")))/LEN("因陀羅網")</f>
        <v>1</v>
      </c>
      <c r="H14" t="str">
        <f>_xlfn.TEXTBEFORE(_xlfn.TEXTAFTER(F14,"p. "),")")</f>
        <v>781c2</v>
      </c>
      <c r="I14">
        <f>LEN(_xlfn.TEXTBEFORE(_xlfn.TEXTAFTER(F14,"：「"),"」(CBETA"))</f>
        <v>9</v>
      </c>
      <c r="J14" t="s">
        <v>15</v>
      </c>
      <c r="K14" s="1"/>
      <c r="L14" s="1" t="s">
        <v>113</v>
      </c>
      <c r="M14" s="1" t="s">
        <v>135</v>
      </c>
      <c r="N14" s="1" t="s">
        <v>115</v>
      </c>
      <c r="O14" t="str" cm="1">
        <f t="array" ref="O14">_xlfn.LET(
  _xlpm.target,IFERROR(_xlfn.TEXTBEFORE(_xlfn.TEXTAFTER($F14,"：「"),"」("),""),
  _xlpm.words,TRIM(_xlfn.TEXTSPLIT(O$3,",")),
  IF(SUM(--ISNUMBER(SEARCH(_xlpm.words,_xlpm.target)))&gt;0,"O","X")
)</f>
        <v>X</v>
      </c>
      <c r="P14" t="str" cm="1">
        <f t="array" ref="P14">_xlfn.LET(
  _xlpm.target,IFERROR(_xlfn.TEXTBEFORE(_xlfn.TEXTAFTER($F14,"：「"),"」("),""),
  _xlpm.words,TRIM(_xlfn.TEXTSPLIT(P$3,",")),
  IF(SUM(--ISNUMBER(SEARCH(_xlpm.words,_xlpm.target)))&gt;0,"O","X")
)</f>
        <v>X</v>
      </c>
      <c r="Q14" t="str" cm="1">
        <f t="array" ref="Q14">_xlfn.LET(
  _xlpm.target,IFERROR(_xlfn.TEXTBEFORE(_xlfn.TEXTAFTER($F14,"：「"),"」("),""),
  _xlpm.words,TRIM(_xlfn.TEXTSPLIT(Q$3,",")),
  IF(SUM(--ISNUMBER(SEARCH(_xlpm.words,_xlpm.target)))&gt;0,"O","X")
)</f>
        <v>X</v>
      </c>
      <c r="R14" t="str" cm="1">
        <f t="array" ref="R14">_xlfn.LET(
  _xlpm.target,IFERROR(_xlfn.TEXTBEFORE(_xlfn.TEXTAFTER($F14,"：「"),"」("),""),
  _xlpm.words,TRIM(_xlfn.TEXTSPLIT(R$3,",")),
  IF(SUM(--ISNUMBER(SEARCH(_xlpm.words,_xlpm.target)))&gt;0,"O","X")
)</f>
        <v>X</v>
      </c>
      <c r="S14" t="str" cm="1">
        <f t="array" ref="S14">_xlfn.LET(
  _xlpm.target,IFERROR(_xlfn.TEXTBEFORE(_xlfn.TEXTAFTER($F14,"：「"),"」("),""),
  _xlpm.words,TRIM(_xlfn.TEXTSPLIT(S$3,",")),
  IF(SUM(--ISNUMBER(SEARCH(_xlpm.words,_xlpm.target)))&gt;0,"O","X")
)</f>
        <v>X</v>
      </c>
      <c r="T14" t="str" cm="1">
        <f t="array" ref="T14">_xlfn.LET(
  _xlpm.target,IFERROR(_xlfn.TEXTBEFORE(_xlfn.TEXTAFTER($F14,"：「"),"」("),""),
  _xlpm.words,TRIM(_xlfn.TEXTSPLIT(T$3,",")),
  IF(SUM(--ISNUMBER(SEARCH(_xlpm.words,_xlpm.target)))&gt;0,"O","X")
)</f>
        <v>X</v>
      </c>
      <c r="U14" t="str" cm="1">
        <f t="array" ref="U14">_xlfn.LET(
  _xlpm.target,IFERROR(_xlfn.TEXTBEFORE(_xlfn.TEXTAFTER($F14,"：「"),"」("),""),
  _xlpm.words,TRIM(_xlfn.TEXTSPLIT(U$3,",")),
  IF(SUM(--ISNUMBER(SEARCH(_xlpm.words,_xlpm.target)))&gt;0,"O","X")
)</f>
        <v>O</v>
      </c>
      <c r="V14" t="str" cm="1">
        <f t="array" ref="V14">_xlfn.LET(
  _xlpm.target,IFERROR(_xlfn.TEXTBEFORE(_xlfn.TEXTAFTER($F14,"：「"),"」("),""),
  _xlpm.words,TRIM(_xlfn.TEXTSPLIT(V$3,",")),
  IF(SUM(--ISNUMBER(SEARCH(_xlpm.words,_xlpm.target)))&gt;0,"O","X")
)</f>
        <v>X</v>
      </c>
      <c r="W14" t="str" cm="1">
        <f t="array" ref="W14">_xlfn.LET(
  _xlpm.target,IFERROR(_xlfn.TEXTBEFORE(_xlfn.TEXTAFTER($F14,"：「"),"」("),""),
  _xlpm.words,TRIM(_xlfn.TEXTSPLIT(W$3,",")),
  IF(SUM(--ISNUMBER(SEARCH(_xlpm.words,_xlpm.target)))&gt;0,"O","X")
)</f>
        <v>X</v>
      </c>
      <c r="X14" t="str" cm="1">
        <f t="array" ref="X14">_xlfn.LET(
  _xlpm.target,IFERROR(_xlfn.TEXTBEFORE(_xlfn.TEXTAFTER($F14,"：「"),"」("),""),
  _xlpm.words,TRIM(_xlfn.TEXTSPLIT(X$3,",")),
  IF(SUM(--ISNUMBER(SEARCH(_xlpm.words,_xlpm.target)))&gt;0,"O","X")
)</f>
        <v>X</v>
      </c>
    </row>
    <row r="15" spans="1:24" ht="18.75">
      <c r="A15">
        <v>12</v>
      </c>
      <c r="B15" t="s">
        <v>19</v>
      </c>
      <c r="C15" t="s">
        <v>20</v>
      </c>
      <c r="D15" t="s">
        <v>21</v>
      </c>
      <c r="E15" t="s">
        <v>109</v>
      </c>
      <c r="F15" t="s">
        <v>226</v>
      </c>
      <c r="G15">
        <f>(LEN(F15)-LEN(SUBSTITUTE(F15,"帝網","")))/LEN("帝網")
 +(LEN(F15)-LEN(SUBSTITUTE(F15,"帝釋網","")))/LEN("帝釋網")
 +(LEN(F15)-LEN(SUBSTITUTE(F15,"因陀羅網","")))/LEN("因陀羅網")</f>
        <v>1</v>
      </c>
      <c r="H15" t="str">
        <f>_xlfn.TEXTBEFORE(_xlfn.TEXTAFTER(F15,"p. "),")")</f>
        <v>501b12-18</v>
      </c>
      <c r="I15">
        <f>LEN(_xlfn.TEXTBEFORE(_xlfn.TEXTAFTER(F15,"：「"),"」(CBETA"))</f>
        <v>121</v>
      </c>
      <c r="J15" t="s">
        <v>15</v>
      </c>
      <c r="K15" s="1"/>
      <c r="L15" s="1" t="s">
        <v>113</v>
      </c>
      <c r="M15" s="1" t="s">
        <v>135</v>
      </c>
      <c r="N15" s="1" t="s">
        <v>115</v>
      </c>
      <c r="O15" t="str" cm="1">
        <f t="array" ref="O15">_xlfn.LET(
  _xlpm.target,IFERROR(_xlfn.TEXTBEFORE(_xlfn.TEXTAFTER($F15,"：「"),"」("),""),
  _xlpm.words,TRIM(_xlfn.TEXTSPLIT(O$3,",")),
  IF(SUM(--ISNUMBER(SEARCH(_xlpm.words,_xlpm.target)))&gt;0,"O","X")
)</f>
        <v>O</v>
      </c>
      <c r="P15" t="str" cm="1">
        <f t="array" ref="P15">_xlfn.LET(
  _xlpm.target,IFERROR(_xlfn.TEXTBEFORE(_xlfn.TEXTAFTER($F15,"：「"),"」("),""),
  _xlpm.words,TRIM(_xlfn.TEXTSPLIT(P$3,",")),
  IF(SUM(--ISNUMBER(SEARCH(_xlpm.words,_xlpm.target)))&gt;0,"O","X")
)</f>
        <v>O</v>
      </c>
      <c r="Q15" t="str" cm="1">
        <f t="array" ref="Q15">_xlfn.LET(
  _xlpm.target,IFERROR(_xlfn.TEXTBEFORE(_xlfn.TEXTAFTER($F15,"：「"),"」("),""),
  _xlpm.words,TRIM(_xlfn.TEXTSPLIT(Q$3,",")),
  IF(SUM(--ISNUMBER(SEARCH(_xlpm.words,_xlpm.target)))&gt;0,"O","X")
)</f>
        <v>X</v>
      </c>
      <c r="R15" t="str" cm="1">
        <f t="array" ref="R15">_xlfn.LET(
  _xlpm.target,IFERROR(_xlfn.TEXTBEFORE(_xlfn.TEXTAFTER($F15,"：「"),"」("),""),
  _xlpm.words,TRIM(_xlfn.TEXTSPLIT(R$3,",")),
  IF(SUM(--ISNUMBER(SEARCH(_xlpm.words,_xlpm.target)))&gt;0,"O","X")
)</f>
        <v>X</v>
      </c>
      <c r="S15" t="str" cm="1">
        <f t="array" ref="S15">_xlfn.LET(
  _xlpm.target,IFERROR(_xlfn.TEXTBEFORE(_xlfn.TEXTAFTER($F15,"：「"),"」("),""),
  _xlpm.words,TRIM(_xlfn.TEXTSPLIT(S$3,",")),
  IF(SUM(--ISNUMBER(SEARCH(_xlpm.words,_xlpm.target)))&gt;0,"O","X")
)</f>
        <v>X</v>
      </c>
      <c r="T15" t="str" cm="1">
        <f t="array" ref="T15">_xlfn.LET(
  _xlpm.target,IFERROR(_xlfn.TEXTBEFORE(_xlfn.TEXTAFTER($F15,"：「"),"」("),""),
  _xlpm.words,TRIM(_xlfn.TEXTSPLIT(T$3,",")),
  IF(SUM(--ISNUMBER(SEARCH(_xlpm.words,_xlpm.target)))&gt;0,"O","X")
)</f>
        <v>X</v>
      </c>
      <c r="U15" t="str" cm="1">
        <f t="array" ref="U15">_xlfn.LET(
  _xlpm.target,IFERROR(_xlfn.TEXTBEFORE(_xlfn.TEXTAFTER($F15,"：「"),"」("),""),
  _xlpm.words,TRIM(_xlfn.TEXTSPLIT(U$3,",")),
  IF(SUM(--ISNUMBER(SEARCH(_xlpm.words,_xlpm.target)))&gt;0,"O","X")
)</f>
        <v>O</v>
      </c>
      <c r="V15" t="str" cm="1">
        <f t="array" ref="V15">_xlfn.LET(
  _xlpm.target,IFERROR(_xlfn.TEXTBEFORE(_xlfn.TEXTAFTER($F15,"：「"),"」("),""),
  _xlpm.words,TRIM(_xlfn.TEXTSPLIT(V$3,",")),
  IF(SUM(--ISNUMBER(SEARCH(_xlpm.words,_xlpm.target)))&gt;0,"O","X")
)</f>
        <v>O</v>
      </c>
      <c r="W15" t="str" cm="1">
        <f t="array" ref="W15">_xlfn.LET(
  _xlpm.target,IFERROR(_xlfn.TEXTBEFORE(_xlfn.TEXTAFTER($F15,"：「"),"」("),""),
  _xlpm.words,TRIM(_xlfn.TEXTSPLIT(W$3,",")),
  IF(SUM(--ISNUMBER(SEARCH(_xlpm.words,_xlpm.target)))&gt;0,"O","X")
)</f>
        <v>O</v>
      </c>
      <c r="X15" t="str" cm="1">
        <f t="array" ref="X15">_xlfn.LET(
  _xlpm.target,IFERROR(_xlfn.TEXTBEFORE(_xlfn.TEXTAFTER($F15,"：「"),"」("),""),
  _xlpm.words,TRIM(_xlfn.TEXTSPLIT(X$3,",")),
  IF(SUM(--ISNUMBER(SEARCH(_xlpm.words,_xlpm.target)))&gt;0,"O","X")
)</f>
        <v>X</v>
      </c>
    </row>
    <row r="16" spans="1:24" ht="18.75">
      <c r="A16">
        <v>13</v>
      </c>
      <c r="B16" t="s">
        <v>22</v>
      </c>
      <c r="C16" t="s">
        <v>23</v>
      </c>
      <c r="D16" t="s">
        <v>24</v>
      </c>
      <c r="E16" t="s">
        <v>239</v>
      </c>
      <c r="F16" t="s">
        <v>98</v>
      </c>
      <c r="G16">
        <f>(LEN(F16)-LEN(SUBSTITUTE(F16,"帝網","")))/LEN("帝網")
 +(LEN(F16)-LEN(SUBSTITUTE(F16,"帝釋網","")))/LEN("帝釋網")
 +(LEN(F16)-LEN(SUBSTITUTE(F16,"因陀羅網","")))/LEN("因陀羅網")</f>
        <v>1</v>
      </c>
      <c r="H16" t="str">
        <f>_xlfn.TEXTBEFORE(_xlfn.TEXTAFTER(F16,"p. "),")")</f>
        <v>578a25-c24</v>
      </c>
      <c r="I16">
        <f>LEN(_xlfn.TEXTBEFORE(_xlfn.TEXTAFTER(F16,"：「"),"」(CBETA"))</f>
        <v>1135</v>
      </c>
      <c r="J16" t="s">
        <v>94</v>
      </c>
      <c r="K16" s="1" t="s">
        <v>25</v>
      </c>
      <c r="L16" s="1" t="s">
        <v>113</v>
      </c>
      <c r="M16" s="1" t="s">
        <v>135</v>
      </c>
      <c r="N16" s="1" t="s">
        <v>115</v>
      </c>
      <c r="O16" t="str" cm="1">
        <f t="array" ref="O16">_xlfn.LET(
  _xlpm.target,IFERROR(_xlfn.TEXTBEFORE(_xlfn.TEXTAFTER($F16,"：「"),"」("),""),
  _xlpm.words,TRIM(_xlfn.TEXTSPLIT(O$3,",")),
  IF(SUM(--ISNUMBER(SEARCH(_xlpm.words,_xlpm.target)))&gt;0,"O","X")
)</f>
        <v>O</v>
      </c>
      <c r="P16" t="str" cm="1">
        <f t="array" ref="P16">_xlfn.LET(
  _xlpm.target,IFERROR(_xlfn.TEXTBEFORE(_xlfn.TEXTAFTER($F16,"：「"),"」("),""),
  _xlpm.words,TRIM(_xlfn.TEXTSPLIT(P$3,",")),
  IF(SUM(--ISNUMBER(SEARCH(_xlpm.words,_xlpm.target)))&gt;0,"O","X")
)</f>
        <v>O</v>
      </c>
      <c r="Q16" t="str" cm="1">
        <f t="array" ref="Q16">_xlfn.LET(
  _xlpm.target,IFERROR(_xlfn.TEXTBEFORE(_xlfn.TEXTAFTER($F16,"：「"),"」("),""),
  _xlpm.words,TRIM(_xlfn.TEXTSPLIT(Q$3,",")),
  IF(SUM(--ISNUMBER(SEARCH(_xlpm.words,_xlpm.target)))&gt;0,"O","X")
)</f>
        <v>O</v>
      </c>
      <c r="R16" t="str" cm="1">
        <f t="array" ref="R16">_xlfn.LET(
  _xlpm.target,IFERROR(_xlfn.TEXTBEFORE(_xlfn.TEXTAFTER($F16,"：「"),"」("),""),
  _xlpm.words,TRIM(_xlfn.TEXTSPLIT(R$3,",")),
  IF(SUM(--ISNUMBER(SEARCH(_xlpm.words,_xlpm.target)))&gt;0,"O","X")
)</f>
        <v>X</v>
      </c>
      <c r="S16" t="str" cm="1">
        <f t="array" ref="S16">_xlfn.LET(
  _xlpm.target,IFERROR(_xlfn.TEXTBEFORE(_xlfn.TEXTAFTER($F16,"：「"),"」("),""),
  _xlpm.words,TRIM(_xlfn.TEXTSPLIT(S$3,",")),
  IF(SUM(--ISNUMBER(SEARCH(_xlpm.words,_xlpm.target)))&gt;0,"O","X")
)</f>
        <v>X</v>
      </c>
      <c r="T16" t="str" cm="1">
        <f t="array" ref="T16">_xlfn.LET(
  _xlpm.target,IFERROR(_xlfn.TEXTBEFORE(_xlfn.TEXTAFTER($F16,"：「"),"」("),""),
  _xlpm.words,TRIM(_xlfn.TEXTSPLIT(T$3,",")),
  IF(SUM(--ISNUMBER(SEARCH(_xlpm.words,_xlpm.target)))&gt;0,"O","X")
)</f>
        <v>X</v>
      </c>
      <c r="U16" t="str" cm="1">
        <f t="array" ref="U16">_xlfn.LET(
  _xlpm.target,IFERROR(_xlfn.TEXTBEFORE(_xlfn.TEXTAFTER($F16,"：「"),"」("),""),
  _xlpm.words,TRIM(_xlfn.TEXTSPLIT(U$3,",")),
  IF(SUM(--ISNUMBER(SEARCH(_xlpm.words,_xlpm.target)))&gt;0,"O","X")
)</f>
        <v>O</v>
      </c>
      <c r="V16" t="str" cm="1">
        <f t="array" ref="V16">_xlfn.LET(
  _xlpm.target,IFERROR(_xlfn.TEXTBEFORE(_xlfn.TEXTAFTER($F16,"：「"),"」("),""),
  _xlpm.words,TRIM(_xlfn.TEXTSPLIT(V$3,",")),
  IF(SUM(--ISNUMBER(SEARCH(_xlpm.words,_xlpm.target)))&gt;0,"O","X")
)</f>
        <v>O</v>
      </c>
      <c r="W16" t="str" cm="1">
        <f t="array" ref="W16">_xlfn.LET(
  _xlpm.target,IFERROR(_xlfn.TEXTBEFORE(_xlfn.TEXTAFTER($F16,"：「"),"」("),""),
  _xlpm.words,TRIM(_xlfn.TEXTSPLIT(W$3,",")),
  IF(SUM(--ISNUMBER(SEARCH(_xlpm.words,_xlpm.target)))&gt;0,"O","X")
)</f>
        <v>X</v>
      </c>
      <c r="X16" t="str" cm="1">
        <f t="array" ref="X16">_xlfn.LET(
  _xlpm.target,IFERROR(_xlfn.TEXTBEFORE(_xlfn.TEXTAFTER($F16,"：「"),"」("),""),
  _xlpm.words,TRIM(_xlfn.TEXTSPLIT(X$3,",")),
  IF(SUM(--ISNUMBER(SEARCH(_xlpm.words,_xlpm.target)))&gt;0,"O","X")
)</f>
        <v>X</v>
      </c>
    </row>
    <row r="17" spans="1:24">
      <c r="A17">
        <v>14</v>
      </c>
      <c r="B17" t="s">
        <v>26</v>
      </c>
      <c r="C17" t="s">
        <v>27</v>
      </c>
      <c r="D17" t="s">
        <v>28</v>
      </c>
      <c r="E17" t="s">
        <v>29</v>
      </c>
      <c r="F17" t="s">
        <v>110</v>
      </c>
      <c r="G17">
        <f>(LEN(F17)-LEN(SUBSTITUTE(F17,"帝網","")))/LEN("帝網")
 +(LEN(F17)-LEN(SUBSTITUTE(F17,"帝釋網","")))/LEN("帝釋網")
 +(LEN(F17)-LEN(SUBSTITUTE(F17,"因陀羅網","")))/LEN("因陀羅網")</f>
        <v>1</v>
      </c>
      <c r="H17" t="str">
        <f>_xlfn.TEXTBEFORE(_xlfn.TEXTAFTER(F17,"p. "),")")</f>
        <v>123b2</v>
      </c>
      <c r="I17">
        <f>LEN(_xlfn.TEXTBEFORE(_xlfn.TEXTAFTER(F17,"：「"),"」(CBETA"))</f>
        <v>10</v>
      </c>
      <c r="J17" t="s">
        <v>93</v>
      </c>
      <c r="K17" s="1"/>
      <c r="L17" s="1" t="s">
        <v>113</v>
      </c>
      <c r="M17" s="1" t="s">
        <v>135</v>
      </c>
      <c r="N17" s="1" t="s">
        <v>116</v>
      </c>
      <c r="O17" t="str" cm="1">
        <f t="array" ref="O17">_xlfn.LET(
  _xlpm.target,IFERROR(_xlfn.TEXTBEFORE(_xlfn.TEXTAFTER($F17,"：「"),"」("),""),
  _xlpm.words,TRIM(_xlfn.TEXTSPLIT(O$3,",")),
  IF(SUM(--ISNUMBER(SEARCH(_xlpm.words,_xlpm.target)))&gt;0,"O","X")
)</f>
        <v>X</v>
      </c>
      <c r="P17" t="str" cm="1">
        <f t="array" ref="P17">_xlfn.LET(
  _xlpm.target,IFERROR(_xlfn.TEXTBEFORE(_xlfn.TEXTAFTER($F17,"：「"),"」("),""),
  _xlpm.words,TRIM(_xlfn.TEXTSPLIT(P$3,",")),
  IF(SUM(--ISNUMBER(SEARCH(_xlpm.words,_xlpm.target)))&gt;0,"O","X")
)</f>
        <v>X</v>
      </c>
      <c r="Q17" t="str" cm="1">
        <f t="array" ref="Q17">_xlfn.LET(
  _xlpm.target,IFERROR(_xlfn.TEXTBEFORE(_xlfn.TEXTAFTER($F17,"：「"),"」("),""),
  _xlpm.words,TRIM(_xlfn.TEXTSPLIT(Q$3,",")),
  IF(SUM(--ISNUMBER(SEARCH(_xlpm.words,_xlpm.target)))&gt;0,"O","X")
)</f>
        <v>X</v>
      </c>
      <c r="R17" t="str" cm="1">
        <f t="array" ref="R17">_xlfn.LET(
  _xlpm.target,IFERROR(_xlfn.TEXTBEFORE(_xlfn.TEXTAFTER($F17,"：「"),"」("),""),
  _xlpm.words,TRIM(_xlfn.TEXTSPLIT(R$3,",")),
  IF(SUM(--ISNUMBER(SEARCH(_xlpm.words,_xlpm.target)))&gt;0,"O","X")
)</f>
        <v>X</v>
      </c>
      <c r="S17" t="str" cm="1">
        <f t="array" ref="S17">_xlfn.LET(
  _xlpm.target,IFERROR(_xlfn.TEXTBEFORE(_xlfn.TEXTAFTER($F17,"：「"),"」("),""),
  _xlpm.words,TRIM(_xlfn.TEXTSPLIT(S$3,",")),
  IF(SUM(--ISNUMBER(SEARCH(_xlpm.words,_xlpm.target)))&gt;0,"O","X")
)</f>
        <v>X</v>
      </c>
      <c r="T17" t="str" cm="1">
        <f t="array" ref="T17">_xlfn.LET(
  _xlpm.target,IFERROR(_xlfn.TEXTBEFORE(_xlfn.TEXTAFTER($F17,"：「"),"」("),""),
  _xlpm.words,TRIM(_xlfn.TEXTSPLIT(T$3,",")),
  IF(SUM(--ISNUMBER(SEARCH(_xlpm.words,_xlpm.target)))&gt;0,"O","X")
)</f>
        <v>X</v>
      </c>
      <c r="U17" t="str" cm="1">
        <f t="array" ref="U17">_xlfn.LET(
  _xlpm.target,IFERROR(_xlfn.TEXTBEFORE(_xlfn.TEXTAFTER($F17,"：「"),"」("),""),
  _xlpm.words,TRIM(_xlfn.TEXTSPLIT(U$3,",")),
  IF(SUM(--ISNUMBER(SEARCH(_xlpm.words,_xlpm.target)))&gt;0,"O","X")
)</f>
        <v>X</v>
      </c>
      <c r="V17" t="str" cm="1">
        <f t="array" ref="V17">_xlfn.LET(
  _xlpm.target,IFERROR(_xlfn.TEXTBEFORE(_xlfn.TEXTAFTER($F17,"：「"),"」("),""),
  _xlpm.words,TRIM(_xlfn.TEXTSPLIT(V$3,",")),
  IF(SUM(--ISNUMBER(SEARCH(_xlpm.words,_xlpm.target)))&gt;0,"O","X")
)</f>
        <v>X</v>
      </c>
      <c r="W17" t="str" cm="1">
        <f t="array" ref="W17">_xlfn.LET(
  _xlpm.target,IFERROR(_xlfn.TEXTBEFORE(_xlfn.TEXTAFTER($F17,"：「"),"」("),""),
  _xlpm.words,TRIM(_xlfn.TEXTSPLIT(W$3,",")),
  IF(SUM(--ISNUMBER(SEARCH(_xlpm.words,_xlpm.target)))&gt;0,"O","X")
)</f>
        <v>X</v>
      </c>
      <c r="X17" t="str" cm="1">
        <f t="array" ref="X17">_xlfn.LET(
  _xlpm.target,IFERROR(_xlfn.TEXTBEFORE(_xlfn.TEXTAFTER($F17,"：「"),"」("),""),
  _xlpm.words,TRIM(_xlfn.TEXTSPLIT(X$3,",")),
  IF(SUM(--ISNUMBER(SEARCH(_xlpm.words,_xlpm.target)))&gt;0,"O","X")
)</f>
        <v>X</v>
      </c>
    </row>
    <row r="18" spans="1:24">
      <c r="A18">
        <v>15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>
        <f>(LEN(F18)-LEN(SUBSTITUTE(F18,"帝網","")))/LEN("帝網")
 +(LEN(F18)-LEN(SUBSTITUTE(F18,"帝釋網","")))/LEN("帝釋網")
 +(LEN(F18)-LEN(SUBSTITUTE(F18,"因陀羅網","")))/LEN("因陀羅網")</f>
        <v>1</v>
      </c>
      <c r="H18" t="str">
        <f>_xlfn.TEXTBEFORE(_xlfn.TEXTAFTER(F18,"p. "),")")</f>
        <v>183b1-2</v>
      </c>
      <c r="I18">
        <f>LEN(_xlfn.TEXTBEFORE(_xlfn.TEXTAFTER(F18,"：「"),"」(CBETA"))</f>
        <v>8</v>
      </c>
      <c r="J18" t="s">
        <v>93</v>
      </c>
      <c r="K18" s="1" t="s">
        <v>127</v>
      </c>
      <c r="L18" s="1" t="s">
        <v>113</v>
      </c>
      <c r="M18" s="1" t="s">
        <v>135</v>
      </c>
      <c r="N18" s="1" t="s">
        <v>117</v>
      </c>
      <c r="O18" t="str" cm="1">
        <f t="array" ref="O18">_xlfn.LET(
  _xlpm.target,IFERROR(_xlfn.TEXTBEFORE(_xlfn.TEXTAFTER($F18,"：「"),"」("),""),
  _xlpm.words,TRIM(_xlfn.TEXTSPLIT(O$3,",")),
  IF(SUM(--ISNUMBER(SEARCH(_xlpm.words,_xlpm.target)))&gt;0,"O","X")
)</f>
        <v>X</v>
      </c>
      <c r="P18" t="str" cm="1">
        <f t="array" ref="P18">_xlfn.LET(
  _xlpm.target,IFERROR(_xlfn.TEXTBEFORE(_xlfn.TEXTAFTER($F18,"：「"),"」("),""),
  _xlpm.words,TRIM(_xlfn.TEXTSPLIT(P$3,",")),
  IF(SUM(--ISNUMBER(SEARCH(_xlpm.words,_xlpm.target)))&gt;0,"O","X")
)</f>
        <v>X</v>
      </c>
      <c r="Q18" t="str" cm="1">
        <f t="array" ref="Q18">_xlfn.LET(
  _xlpm.target,IFERROR(_xlfn.TEXTBEFORE(_xlfn.TEXTAFTER($F18,"：「"),"」("),""),
  _xlpm.words,TRIM(_xlfn.TEXTSPLIT(Q$3,",")),
  IF(SUM(--ISNUMBER(SEARCH(_xlpm.words,_xlpm.target)))&gt;0,"O","X")
)</f>
        <v>X</v>
      </c>
      <c r="R18" t="str" cm="1">
        <f t="array" ref="R18">_xlfn.LET(
  _xlpm.target,IFERROR(_xlfn.TEXTBEFORE(_xlfn.TEXTAFTER($F18,"：「"),"」("),""),
  _xlpm.words,TRIM(_xlfn.TEXTSPLIT(R$3,",")),
  IF(SUM(--ISNUMBER(SEARCH(_xlpm.words,_xlpm.target)))&gt;0,"O","X")
)</f>
        <v>X</v>
      </c>
      <c r="S18" t="str" cm="1">
        <f t="array" ref="S18">_xlfn.LET(
  _xlpm.target,IFERROR(_xlfn.TEXTBEFORE(_xlfn.TEXTAFTER($F18,"：「"),"」("),""),
  _xlpm.words,TRIM(_xlfn.TEXTSPLIT(S$3,",")),
  IF(SUM(--ISNUMBER(SEARCH(_xlpm.words,_xlpm.target)))&gt;0,"O","X")
)</f>
        <v>X</v>
      </c>
      <c r="T18" t="str" cm="1">
        <f t="array" ref="T18">_xlfn.LET(
  _xlpm.target,IFERROR(_xlfn.TEXTBEFORE(_xlfn.TEXTAFTER($F18,"：「"),"」("),""),
  _xlpm.words,TRIM(_xlfn.TEXTSPLIT(T$3,",")),
  IF(SUM(--ISNUMBER(SEARCH(_xlpm.words,_xlpm.target)))&gt;0,"O","X")
)</f>
        <v>X</v>
      </c>
      <c r="U18" t="str" cm="1">
        <f t="array" ref="U18">_xlfn.LET(
  _xlpm.target,IFERROR(_xlfn.TEXTBEFORE(_xlfn.TEXTAFTER($F18,"：「"),"」("),""),
  _xlpm.words,TRIM(_xlfn.TEXTSPLIT(U$3,",")),
  IF(SUM(--ISNUMBER(SEARCH(_xlpm.words,_xlpm.target)))&gt;0,"O","X")
)</f>
        <v>X</v>
      </c>
      <c r="V18" t="str" cm="1">
        <f t="array" ref="V18">_xlfn.LET(
  _xlpm.target,IFERROR(_xlfn.TEXTBEFORE(_xlfn.TEXTAFTER($F18,"：「"),"」("),""),
  _xlpm.words,TRIM(_xlfn.TEXTSPLIT(V$3,",")),
  IF(SUM(--ISNUMBER(SEARCH(_xlpm.words,_xlpm.target)))&gt;0,"O","X")
)</f>
        <v>X</v>
      </c>
      <c r="W18" t="str" cm="1">
        <f t="array" ref="W18">_xlfn.LET(
  _xlpm.target,IFERROR(_xlfn.TEXTBEFORE(_xlfn.TEXTAFTER($F18,"：「"),"」("),""),
  _xlpm.words,TRIM(_xlfn.TEXTSPLIT(W$3,",")),
  IF(SUM(--ISNUMBER(SEARCH(_xlpm.words,_xlpm.target)))&gt;0,"O","X")
)</f>
        <v>X</v>
      </c>
      <c r="X18" t="str" cm="1">
        <f t="array" ref="X18">_xlfn.LET(
  _xlpm.target,IFERROR(_xlfn.TEXTBEFORE(_xlfn.TEXTAFTER($F18,"：「"),"」("),""),
  _xlpm.words,TRIM(_xlfn.TEXTSPLIT(X$3,",")),
  IF(SUM(--ISNUMBER(SEARCH(_xlpm.words,_xlpm.target)))&gt;0,"O","X")
)</f>
        <v>X</v>
      </c>
    </row>
    <row r="19" spans="1:24">
      <c r="A19">
        <v>16</v>
      </c>
      <c r="B19" t="s">
        <v>35</v>
      </c>
      <c r="C19" t="s">
        <v>20</v>
      </c>
      <c r="D19" t="s">
        <v>36</v>
      </c>
      <c r="E19" t="s">
        <v>37</v>
      </c>
      <c r="F19" t="s">
        <v>38</v>
      </c>
      <c r="G19">
        <f>(LEN(F19)-LEN(SUBSTITUTE(F19,"帝網","")))/LEN("帝網")
 +(LEN(F19)-LEN(SUBSTITUTE(F19,"帝釋網","")))/LEN("帝釋網")
 +(LEN(F19)-LEN(SUBSTITUTE(F19,"因陀羅網","")))/LEN("因陀羅網")</f>
        <v>1</v>
      </c>
      <c r="H19" t="str">
        <f>_xlfn.TEXTBEFORE(_xlfn.TEXTAFTER(F19,"p. "),")")</f>
        <v>537b8</v>
      </c>
      <c r="I19">
        <f>LEN(_xlfn.TEXTBEFORE(_xlfn.TEXTAFTER(F19,"：「"),"」(CBETA"))</f>
        <v>4</v>
      </c>
      <c r="J19" t="s">
        <v>93</v>
      </c>
      <c r="K19" s="1"/>
      <c r="L19" s="1" t="s">
        <v>113</v>
      </c>
      <c r="M19" s="1" t="s">
        <v>135</v>
      </c>
      <c r="N19" s="1" t="s">
        <v>118</v>
      </c>
      <c r="O19" t="str" cm="1">
        <f t="array" ref="O19">_xlfn.LET(
  _xlpm.target,IFERROR(_xlfn.TEXTBEFORE(_xlfn.TEXTAFTER($F19,"：「"),"」("),""),
  _xlpm.words,TRIM(_xlfn.TEXTSPLIT(O$3,",")),
  IF(SUM(--ISNUMBER(SEARCH(_xlpm.words,_xlpm.target)))&gt;0,"O","X")
)</f>
        <v>X</v>
      </c>
      <c r="P19" t="str" cm="1">
        <f t="array" ref="P19">_xlfn.LET(
  _xlpm.target,IFERROR(_xlfn.TEXTBEFORE(_xlfn.TEXTAFTER($F19,"：「"),"」("),""),
  _xlpm.words,TRIM(_xlfn.TEXTSPLIT(P$3,",")),
  IF(SUM(--ISNUMBER(SEARCH(_xlpm.words,_xlpm.target)))&gt;0,"O","X")
)</f>
        <v>X</v>
      </c>
      <c r="Q19" t="str" cm="1">
        <f t="array" ref="Q19">_xlfn.LET(
  _xlpm.target,IFERROR(_xlfn.TEXTBEFORE(_xlfn.TEXTAFTER($F19,"：「"),"」("),""),
  _xlpm.words,TRIM(_xlfn.TEXTSPLIT(Q$3,",")),
  IF(SUM(--ISNUMBER(SEARCH(_xlpm.words,_xlpm.target)))&gt;0,"O","X")
)</f>
        <v>X</v>
      </c>
      <c r="R19" t="str" cm="1">
        <f t="array" ref="R19">_xlfn.LET(
  _xlpm.target,IFERROR(_xlfn.TEXTBEFORE(_xlfn.TEXTAFTER($F19,"：「"),"」("),""),
  _xlpm.words,TRIM(_xlfn.TEXTSPLIT(R$3,",")),
  IF(SUM(--ISNUMBER(SEARCH(_xlpm.words,_xlpm.target)))&gt;0,"O","X")
)</f>
        <v>X</v>
      </c>
      <c r="S19" t="str" cm="1">
        <f t="array" ref="S19">_xlfn.LET(
  _xlpm.target,IFERROR(_xlfn.TEXTBEFORE(_xlfn.TEXTAFTER($F19,"：「"),"」("),""),
  _xlpm.words,TRIM(_xlfn.TEXTSPLIT(S$3,",")),
  IF(SUM(--ISNUMBER(SEARCH(_xlpm.words,_xlpm.target)))&gt;0,"O","X")
)</f>
        <v>X</v>
      </c>
      <c r="T19" t="str" cm="1">
        <f t="array" ref="T19">_xlfn.LET(
  _xlpm.target,IFERROR(_xlfn.TEXTBEFORE(_xlfn.TEXTAFTER($F19,"：「"),"」("),""),
  _xlpm.words,TRIM(_xlfn.TEXTSPLIT(T$3,",")),
  IF(SUM(--ISNUMBER(SEARCH(_xlpm.words,_xlpm.target)))&gt;0,"O","X")
)</f>
        <v>X</v>
      </c>
      <c r="U19" t="str" cm="1">
        <f t="array" ref="U19">_xlfn.LET(
  _xlpm.target,IFERROR(_xlfn.TEXTBEFORE(_xlfn.TEXTAFTER($F19,"：「"),"」("),""),
  _xlpm.words,TRIM(_xlfn.TEXTSPLIT(U$3,",")),
  IF(SUM(--ISNUMBER(SEARCH(_xlpm.words,_xlpm.target)))&gt;0,"O","X")
)</f>
        <v>X</v>
      </c>
      <c r="V19" t="str" cm="1">
        <f t="array" ref="V19">_xlfn.LET(
  _xlpm.target,IFERROR(_xlfn.TEXTBEFORE(_xlfn.TEXTAFTER($F19,"：「"),"」("),""),
  _xlpm.words,TRIM(_xlfn.TEXTSPLIT(V$3,",")),
  IF(SUM(--ISNUMBER(SEARCH(_xlpm.words,_xlpm.target)))&gt;0,"O","X")
)</f>
        <v>X</v>
      </c>
      <c r="W19" t="str" cm="1">
        <f t="array" ref="W19">_xlfn.LET(
  _xlpm.target,IFERROR(_xlfn.TEXTBEFORE(_xlfn.TEXTAFTER($F19,"：「"),"」("),""),
  _xlpm.words,TRIM(_xlfn.TEXTSPLIT(W$3,",")),
  IF(SUM(--ISNUMBER(SEARCH(_xlpm.words,_xlpm.target)))&gt;0,"O","X")
)</f>
        <v>X</v>
      </c>
      <c r="X19" t="str" cm="1">
        <f t="array" ref="X19">_xlfn.LET(
  _xlpm.target,IFERROR(_xlfn.TEXTBEFORE(_xlfn.TEXTAFTER($F19,"：「"),"」("),""),
  _xlpm.words,TRIM(_xlfn.TEXTSPLIT(X$3,",")),
  IF(SUM(--ISNUMBER(SEARCH(_xlpm.words,_xlpm.target)))&gt;0,"O","X")
)</f>
        <v>X</v>
      </c>
    </row>
    <row r="20" spans="1:24">
      <c r="A20">
        <v>17</v>
      </c>
      <c r="B20" t="s">
        <v>39</v>
      </c>
      <c r="C20" t="s">
        <v>40</v>
      </c>
      <c r="D20" t="s">
        <v>41</v>
      </c>
      <c r="E20" t="s">
        <v>42</v>
      </c>
      <c r="F20" t="s">
        <v>228</v>
      </c>
      <c r="G20">
        <f>(LEN(F20)-LEN(SUBSTITUTE(F20,"帝網","")))/LEN("帝網")
 +(LEN(F20)-LEN(SUBSTITUTE(F20,"帝釋網","")))/LEN("帝釋網")
 +(LEN(F20)-LEN(SUBSTITUTE(F20,"因陀羅網","")))/LEN("因陀羅網")</f>
        <v>1</v>
      </c>
      <c r="H20" t="str">
        <f>_xlfn.TEXTBEFORE(_xlfn.TEXTAFTER(F20,"p. "),")")</f>
        <v>481b4-5</v>
      </c>
      <c r="I20">
        <f>LEN(_xlfn.TEXTBEFORE(_xlfn.TEXTAFTER(F20,"：「"),"」(CBETA"))</f>
        <v>21</v>
      </c>
      <c r="J20" t="s">
        <v>15</v>
      </c>
      <c r="K20" s="1" t="s">
        <v>128</v>
      </c>
      <c r="L20" s="1" t="s">
        <v>113</v>
      </c>
      <c r="M20" s="1" t="s">
        <v>135</v>
      </c>
      <c r="N20" s="1" t="s">
        <v>119</v>
      </c>
      <c r="O20" t="str" cm="1">
        <f t="array" ref="O20">_xlfn.LET(
  _xlpm.target,IFERROR(_xlfn.TEXTBEFORE(_xlfn.TEXTAFTER($F20,"：「"),"」("),""),
  _xlpm.words,TRIM(_xlfn.TEXTSPLIT(O$3,",")),
  IF(SUM(--ISNUMBER(SEARCH(_xlpm.words,_xlpm.target)))&gt;0,"O","X")
)</f>
        <v>X</v>
      </c>
      <c r="P20" t="str" cm="1">
        <f t="array" ref="P20">_xlfn.LET(
  _xlpm.target,IFERROR(_xlfn.TEXTBEFORE(_xlfn.TEXTAFTER($F20,"：「"),"」("),""),
  _xlpm.words,TRIM(_xlfn.TEXTSPLIT(P$3,",")),
  IF(SUM(--ISNUMBER(SEARCH(_xlpm.words,_xlpm.target)))&gt;0,"O","X")
)</f>
        <v>X</v>
      </c>
      <c r="Q20" t="str" cm="1">
        <f t="array" ref="Q20">_xlfn.LET(
  _xlpm.target,IFERROR(_xlfn.TEXTBEFORE(_xlfn.TEXTAFTER($F20,"：「"),"」("),""),
  _xlpm.words,TRIM(_xlfn.TEXTSPLIT(Q$3,",")),
  IF(SUM(--ISNUMBER(SEARCH(_xlpm.words,_xlpm.target)))&gt;0,"O","X")
)</f>
        <v>X</v>
      </c>
      <c r="R20" t="str" cm="1">
        <f t="array" ref="R20">_xlfn.LET(
  _xlpm.target,IFERROR(_xlfn.TEXTBEFORE(_xlfn.TEXTAFTER($F20,"：「"),"」("),""),
  _xlpm.words,TRIM(_xlfn.TEXTSPLIT(R$3,",")),
  IF(SUM(--ISNUMBER(SEARCH(_xlpm.words,_xlpm.target)))&gt;0,"O","X")
)</f>
        <v>X</v>
      </c>
      <c r="S20" t="str" cm="1">
        <f t="array" ref="S20">_xlfn.LET(
  _xlpm.target,IFERROR(_xlfn.TEXTBEFORE(_xlfn.TEXTAFTER($F20,"：「"),"」("),""),
  _xlpm.words,TRIM(_xlfn.TEXTSPLIT(S$3,",")),
  IF(SUM(--ISNUMBER(SEARCH(_xlpm.words,_xlpm.target)))&gt;0,"O","X")
)</f>
        <v>X</v>
      </c>
      <c r="T20" t="str" cm="1">
        <f t="array" ref="T20">_xlfn.LET(
  _xlpm.target,IFERROR(_xlfn.TEXTBEFORE(_xlfn.TEXTAFTER($F20,"：「"),"」("),""),
  _xlpm.words,TRIM(_xlfn.TEXTSPLIT(T$3,",")),
  IF(SUM(--ISNUMBER(SEARCH(_xlpm.words,_xlpm.target)))&gt;0,"O","X")
)</f>
        <v>X</v>
      </c>
      <c r="U20" t="str" cm="1">
        <f t="array" ref="U20">_xlfn.LET(
  _xlpm.target,IFERROR(_xlfn.TEXTBEFORE(_xlfn.TEXTAFTER($F20,"：「"),"」("),""),
  _xlpm.words,TRIM(_xlfn.TEXTSPLIT(U$3,",")),
  IF(SUM(--ISNUMBER(SEARCH(_xlpm.words,_xlpm.target)))&gt;0,"O","X")
)</f>
        <v>O</v>
      </c>
      <c r="V20" t="str" cm="1">
        <f t="array" ref="V20">_xlfn.LET(
  _xlpm.target,IFERROR(_xlfn.TEXTBEFORE(_xlfn.TEXTAFTER($F20,"：「"),"」("),""),
  _xlpm.words,TRIM(_xlfn.TEXTSPLIT(V$3,",")),
  IF(SUM(--ISNUMBER(SEARCH(_xlpm.words,_xlpm.target)))&gt;0,"O","X")
)</f>
        <v>X</v>
      </c>
      <c r="W20" t="str" cm="1">
        <f t="array" ref="W20">_xlfn.LET(
  _xlpm.target,IFERROR(_xlfn.TEXTBEFORE(_xlfn.TEXTAFTER($F20,"：「"),"」("),""),
  _xlpm.words,TRIM(_xlfn.TEXTSPLIT(W$3,",")),
  IF(SUM(--ISNUMBER(SEARCH(_xlpm.words,_xlpm.target)))&gt;0,"O","X")
)</f>
        <v>X</v>
      </c>
      <c r="X20" t="str" cm="1">
        <f t="array" ref="X20">_xlfn.LET(
  _xlpm.target,IFERROR(_xlfn.TEXTBEFORE(_xlfn.TEXTAFTER($F20,"：「"),"」("),""),
  _xlpm.words,TRIM(_xlfn.TEXTSPLIT(X$3,",")),
  IF(SUM(--ISNUMBER(SEARCH(_xlpm.words,_xlpm.target)))&gt;0,"O","X")
)</f>
        <v>X</v>
      </c>
    </row>
    <row r="21" spans="1:24" ht="18">
      <c r="A21">
        <v>18</v>
      </c>
      <c r="B21" t="s">
        <v>43</v>
      </c>
      <c r="C21" t="s">
        <v>31</v>
      </c>
      <c r="D21" t="s">
        <v>44</v>
      </c>
      <c r="E21" t="s">
        <v>45</v>
      </c>
      <c r="F21" t="s">
        <v>227</v>
      </c>
      <c r="G21">
        <f>(LEN(F21)-LEN(SUBSTITUTE(F21,"帝網","")))/LEN("帝網")
 +(LEN(F21)-LEN(SUBSTITUTE(F21,"帝釋網","")))/LEN("帝釋網")
 +(LEN(F21)-LEN(SUBSTITUTE(F21,"因陀羅網","")))/LEN("因陀羅網")</f>
        <v>1</v>
      </c>
      <c r="H21" t="str">
        <f>_xlfn.TEXTBEFORE(_xlfn.TEXTAFTER(F21,"p. "),")")</f>
        <v>520a15-16</v>
      </c>
      <c r="I21">
        <f>LEN(_xlfn.TEXTBEFORE(_xlfn.TEXTAFTER(F21,"：「"),"」(CBETA"))</f>
        <v>29</v>
      </c>
      <c r="J21" t="s">
        <v>15</v>
      </c>
      <c r="K21" s="1" t="s">
        <v>128</v>
      </c>
      <c r="L21" s="1" t="s">
        <v>113</v>
      </c>
      <c r="M21" s="1" t="s">
        <v>135</v>
      </c>
      <c r="N21" s="1" t="s">
        <v>119</v>
      </c>
      <c r="O21" t="str" cm="1">
        <f t="array" ref="O21">_xlfn.LET(
  _xlpm.target,IFERROR(_xlfn.TEXTBEFORE(_xlfn.TEXTAFTER($F21,"：「"),"」("),""),
  _xlpm.words,TRIM(_xlfn.TEXTSPLIT(O$3,",")),
  IF(SUM(--ISNUMBER(SEARCH(_xlpm.words,_xlpm.target)))&gt;0,"O","X")
)</f>
        <v>X</v>
      </c>
      <c r="P21" t="str" cm="1">
        <f t="array" ref="P21">_xlfn.LET(
  _xlpm.target,IFERROR(_xlfn.TEXTBEFORE(_xlfn.TEXTAFTER($F21,"：「"),"」("),""),
  _xlpm.words,TRIM(_xlfn.TEXTSPLIT(P$3,",")),
  IF(SUM(--ISNUMBER(SEARCH(_xlpm.words,_xlpm.target)))&gt;0,"O","X")
)</f>
        <v>X</v>
      </c>
      <c r="Q21" t="str" cm="1">
        <f t="array" ref="Q21">_xlfn.LET(
  _xlpm.target,IFERROR(_xlfn.TEXTBEFORE(_xlfn.TEXTAFTER($F21,"：「"),"」("),""),
  _xlpm.words,TRIM(_xlfn.TEXTSPLIT(Q$3,",")),
  IF(SUM(--ISNUMBER(SEARCH(_xlpm.words,_xlpm.target)))&gt;0,"O","X")
)</f>
        <v>O</v>
      </c>
      <c r="R21" t="str" cm="1">
        <f t="array" ref="R21">_xlfn.LET(
  _xlpm.target,IFERROR(_xlfn.TEXTBEFORE(_xlfn.TEXTAFTER($F21,"：「"),"」("),""),
  _xlpm.words,TRIM(_xlfn.TEXTSPLIT(R$3,",")),
  IF(SUM(--ISNUMBER(SEARCH(_xlpm.words,_xlpm.target)))&gt;0,"O","X")
)</f>
        <v>X</v>
      </c>
      <c r="S21" t="str" cm="1">
        <f t="array" ref="S21">_xlfn.LET(
  _xlpm.target,IFERROR(_xlfn.TEXTBEFORE(_xlfn.TEXTAFTER($F21,"：「"),"」("),""),
  _xlpm.words,TRIM(_xlfn.TEXTSPLIT(S$3,",")),
  IF(SUM(--ISNUMBER(SEARCH(_xlpm.words,_xlpm.target)))&gt;0,"O","X")
)</f>
        <v>X</v>
      </c>
      <c r="T21" t="str" cm="1">
        <f t="array" ref="T21">_xlfn.LET(
  _xlpm.target,IFERROR(_xlfn.TEXTBEFORE(_xlfn.TEXTAFTER($F21,"：「"),"」("),""),
  _xlpm.words,TRIM(_xlfn.TEXTSPLIT(T$3,",")),
  IF(SUM(--ISNUMBER(SEARCH(_xlpm.words,_xlpm.target)))&gt;0,"O","X")
)</f>
        <v>X</v>
      </c>
      <c r="U21" t="str" cm="1">
        <f t="array" ref="U21">_xlfn.LET(
  _xlpm.target,IFERROR(_xlfn.TEXTBEFORE(_xlfn.TEXTAFTER($F21,"：「"),"」("),""),
  _xlpm.words,TRIM(_xlfn.TEXTSPLIT(U$3,",")),
  IF(SUM(--ISNUMBER(SEARCH(_xlpm.words,_xlpm.target)))&gt;0,"O","X")
)</f>
        <v>O</v>
      </c>
      <c r="V21" t="str" cm="1">
        <f t="array" ref="V21">_xlfn.LET(
  _xlpm.target,IFERROR(_xlfn.TEXTBEFORE(_xlfn.TEXTAFTER($F21,"：「"),"」("),""),
  _xlpm.words,TRIM(_xlfn.TEXTSPLIT(V$3,",")),
  IF(SUM(--ISNUMBER(SEARCH(_xlpm.words,_xlpm.target)))&gt;0,"O","X")
)</f>
        <v>X</v>
      </c>
      <c r="W21" t="str" cm="1">
        <f t="array" ref="W21">_xlfn.LET(
  _xlpm.target,IFERROR(_xlfn.TEXTBEFORE(_xlfn.TEXTAFTER($F21,"：「"),"」("),""),
  _xlpm.words,TRIM(_xlfn.TEXTSPLIT(W$3,",")),
  IF(SUM(--ISNUMBER(SEARCH(_xlpm.words,_xlpm.target)))&gt;0,"O","X")
)</f>
        <v>X</v>
      </c>
      <c r="X21" t="str" cm="1">
        <f t="array" ref="X21">_xlfn.LET(
  _xlpm.target,IFERROR(_xlfn.TEXTBEFORE(_xlfn.TEXTAFTER($F21,"：「"),"」("),""),
  _xlpm.words,TRIM(_xlfn.TEXTSPLIT(X$3,",")),
  IF(SUM(--ISNUMBER(SEARCH(_xlpm.words,_xlpm.target)))&gt;0,"O","X")
)</f>
        <v>X</v>
      </c>
    </row>
    <row r="22" spans="1:24">
      <c r="A22">
        <v>19</v>
      </c>
      <c r="B22" t="s">
        <v>46</v>
      </c>
      <c r="C22" t="s">
        <v>47</v>
      </c>
      <c r="D22" t="s">
        <v>21</v>
      </c>
      <c r="E22" t="s">
        <v>48</v>
      </c>
      <c r="F22" t="s">
        <v>49</v>
      </c>
      <c r="G22">
        <f>(LEN(F22)-LEN(SUBSTITUTE(F22,"帝網","")))/LEN("帝網")
 +(LEN(F22)-LEN(SUBSTITUTE(F22,"帝釋網","")))/LEN("帝釋網")
 +(LEN(F22)-LEN(SUBSTITUTE(F22,"因陀羅網","")))/LEN("因陀羅網")</f>
        <v>1</v>
      </c>
      <c r="H22" t="str">
        <f>_xlfn.TEXTBEFORE(_xlfn.TEXTAFTER(F22,"p. "),")")</f>
        <v>45a8</v>
      </c>
      <c r="I22">
        <f>LEN(_xlfn.TEXTBEFORE(_xlfn.TEXTAFTER(F22,"：「"),"」(CBETA"))</f>
        <v>4</v>
      </c>
      <c r="J22" t="s">
        <v>93</v>
      </c>
      <c r="K22" s="1"/>
      <c r="L22" s="1" t="s">
        <v>113</v>
      </c>
      <c r="M22" s="1" t="s">
        <v>135</v>
      </c>
      <c r="N22" s="1" t="s">
        <v>115</v>
      </c>
      <c r="O22" t="str" cm="1">
        <f t="array" ref="O22">_xlfn.LET(
  _xlpm.target,IFERROR(_xlfn.TEXTBEFORE(_xlfn.TEXTAFTER($F22,"：「"),"」("),""),
  _xlpm.words,TRIM(_xlfn.TEXTSPLIT(O$3,",")),
  IF(SUM(--ISNUMBER(SEARCH(_xlpm.words,_xlpm.target)))&gt;0,"O","X")
)</f>
        <v>X</v>
      </c>
      <c r="P22" t="str" cm="1">
        <f t="array" ref="P22">_xlfn.LET(
  _xlpm.target,IFERROR(_xlfn.TEXTBEFORE(_xlfn.TEXTAFTER($F22,"：「"),"」("),""),
  _xlpm.words,TRIM(_xlfn.TEXTSPLIT(P$3,",")),
  IF(SUM(--ISNUMBER(SEARCH(_xlpm.words,_xlpm.target)))&gt;0,"O","X")
)</f>
        <v>X</v>
      </c>
      <c r="Q22" t="str" cm="1">
        <f t="array" ref="Q22">_xlfn.LET(
  _xlpm.target,IFERROR(_xlfn.TEXTBEFORE(_xlfn.TEXTAFTER($F22,"：「"),"」("),""),
  _xlpm.words,TRIM(_xlfn.TEXTSPLIT(Q$3,",")),
  IF(SUM(--ISNUMBER(SEARCH(_xlpm.words,_xlpm.target)))&gt;0,"O","X")
)</f>
        <v>X</v>
      </c>
      <c r="R22" t="str" cm="1">
        <f t="array" ref="R22">_xlfn.LET(
  _xlpm.target,IFERROR(_xlfn.TEXTBEFORE(_xlfn.TEXTAFTER($F22,"：「"),"」("),""),
  _xlpm.words,TRIM(_xlfn.TEXTSPLIT(R$3,",")),
  IF(SUM(--ISNUMBER(SEARCH(_xlpm.words,_xlpm.target)))&gt;0,"O","X")
)</f>
        <v>X</v>
      </c>
      <c r="S22" t="str" cm="1">
        <f t="array" ref="S22">_xlfn.LET(
  _xlpm.target,IFERROR(_xlfn.TEXTBEFORE(_xlfn.TEXTAFTER($F22,"：「"),"」("),""),
  _xlpm.words,TRIM(_xlfn.TEXTSPLIT(S$3,",")),
  IF(SUM(--ISNUMBER(SEARCH(_xlpm.words,_xlpm.target)))&gt;0,"O","X")
)</f>
        <v>X</v>
      </c>
      <c r="T22" t="str" cm="1">
        <f t="array" ref="T22">_xlfn.LET(
  _xlpm.target,IFERROR(_xlfn.TEXTBEFORE(_xlfn.TEXTAFTER($F22,"：「"),"」("),""),
  _xlpm.words,TRIM(_xlfn.TEXTSPLIT(T$3,",")),
  IF(SUM(--ISNUMBER(SEARCH(_xlpm.words,_xlpm.target)))&gt;0,"O","X")
)</f>
        <v>X</v>
      </c>
      <c r="U22" t="str" cm="1">
        <f t="array" ref="U22">_xlfn.LET(
  _xlpm.target,IFERROR(_xlfn.TEXTBEFORE(_xlfn.TEXTAFTER($F22,"：「"),"」("),""),
  _xlpm.words,TRIM(_xlfn.TEXTSPLIT(U$3,",")),
  IF(SUM(--ISNUMBER(SEARCH(_xlpm.words,_xlpm.target)))&gt;0,"O","X")
)</f>
        <v>X</v>
      </c>
      <c r="V22" t="str" cm="1">
        <f t="array" ref="V22">_xlfn.LET(
  _xlpm.target,IFERROR(_xlfn.TEXTBEFORE(_xlfn.TEXTAFTER($F22,"：「"),"」("),""),
  _xlpm.words,TRIM(_xlfn.TEXTSPLIT(V$3,",")),
  IF(SUM(--ISNUMBER(SEARCH(_xlpm.words,_xlpm.target)))&gt;0,"O","X")
)</f>
        <v>X</v>
      </c>
      <c r="W22" t="str" cm="1">
        <f t="array" ref="W22">_xlfn.LET(
  _xlpm.target,IFERROR(_xlfn.TEXTBEFORE(_xlfn.TEXTAFTER($F22,"：「"),"」("),""),
  _xlpm.words,TRIM(_xlfn.TEXTSPLIT(W$3,",")),
  IF(SUM(--ISNUMBER(SEARCH(_xlpm.words,_xlpm.target)))&gt;0,"O","X")
)</f>
        <v>X</v>
      </c>
      <c r="X22" t="str" cm="1">
        <f t="array" ref="X22">_xlfn.LET(
  _xlpm.target,IFERROR(_xlfn.TEXTBEFORE(_xlfn.TEXTAFTER($F22,"：「"),"」("),""),
  _xlpm.words,TRIM(_xlfn.TEXTSPLIT(X$3,",")),
  IF(SUM(--ISNUMBER(SEARCH(_xlpm.words,_xlpm.target)))&gt;0,"O","X")
)</f>
        <v>X</v>
      </c>
    </row>
    <row r="23" spans="1:24">
      <c r="A23">
        <v>20</v>
      </c>
      <c r="B23" t="s">
        <v>46</v>
      </c>
      <c r="C23" t="s">
        <v>47</v>
      </c>
      <c r="D23" t="s">
        <v>21</v>
      </c>
      <c r="E23" t="s">
        <v>48</v>
      </c>
      <c r="F23" t="s">
        <v>50</v>
      </c>
      <c r="G23">
        <f>(LEN(F23)-LEN(SUBSTITUTE(F23,"帝網","")))/LEN("帝網")
 +(LEN(F23)-LEN(SUBSTITUTE(F23,"帝釋網","")))/LEN("帝釋網")
 +(LEN(F23)-LEN(SUBSTITUTE(F23,"因陀羅網","")))/LEN("因陀羅網")</f>
        <v>1</v>
      </c>
      <c r="H23" t="str">
        <f>_xlfn.TEXTBEFORE(_xlfn.TEXTAFTER(F23,"p. "),")")</f>
        <v>45a15</v>
      </c>
      <c r="I23">
        <f>LEN(_xlfn.TEXTBEFORE(_xlfn.TEXTAFTER(F23,"：「"),"」(CBETA"))</f>
        <v>4</v>
      </c>
      <c r="J23" t="s">
        <v>93</v>
      </c>
      <c r="K23" s="1"/>
      <c r="L23" s="1" t="s">
        <v>113</v>
      </c>
      <c r="M23" s="1" t="s">
        <v>135</v>
      </c>
      <c r="N23" s="1" t="s">
        <v>115</v>
      </c>
      <c r="O23" t="str" cm="1">
        <f t="array" ref="O23">_xlfn.LET(
  _xlpm.target,IFERROR(_xlfn.TEXTBEFORE(_xlfn.TEXTAFTER($F23,"：「"),"」("),""),
  _xlpm.words,TRIM(_xlfn.TEXTSPLIT(O$3,",")),
  IF(SUM(--ISNUMBER(SEARCH(_xlpm.words,_xlpm.target)))&gt;0,"O","X")
)</f>
        <v>X</v>
      </c>
      <c r="P23" t="str" cm="1">
        <f t="array" ref="P23">_xlfn.LET(
  _xlpm.target,IFERROR(_xlfn.TEXTBEFORE(_xlfn.TEXTAFTER($F23,"：「"),"」("),""),
  _xlpm.words,TRIM(_xlfn.TEXTSPLIT(P$3,",")),
  IF(SUM(--ISNUMBER(SEARCH(_xlpm.words,_xlpm.target)))&gt;0,"O","X")
)</f>
        <v>X</v>
      </c>
      <c r="Q23" t="str" cm="1">
        <f t="array" ref="Q23">_xlfn.LET(
  _xlpm.target,IFERROR(_xlfn.TEXTBEFORE(_xlfn.TEXTAFTER($F23,"：「"),"」("),""),
  _xlpm.words,TRIM(_xlfn.TEXTSPLIT(Q$3,",")),
  IF(SUM(--ISNUMBER(SEARCH(_xlpm.words,_xlpm.target)))&gt;0,"O","X")
)</f>
        <v>X</v>
      </c>
      <c r="R23" t="str" cm="1">
        <f t="array" ref="R23">_xlfn.LET(
  _xlpm.target,IFERROR(_xlfn.TEXTBEFORE(_xlfn.TEXTAFTER($F23,"：「"),"」("),""),
  _xlpm.words,TRIM(_xlfn.TEXTSPLIT(R$3,",")),
  IF(SUM(--ISNUMBER(SEARCH(_xlpm.words,_xlpm.target)))&gt;0,"O","X")
)</f>
        <v>X</v>
      </c>
      <c r="S23" t="str" cm="1">
        <f t="array" ref="S23">_xlfn.LET(
  _xlpm.target,IFERROR(_xlfn.TEXTBEFORE(_xlfn.TEXTAFTER($F23,"：「"),"」("),""),
  _xlpm.words,TRIM(_xlfn.TEXTSPLIT(S$3,",")),
  IF(SUM(--ISNUMBER(SEARCH(_xlpm.words,_xlpm.target)))&gt;0,"O","X")
)</f>
        <v>X</v>
      </c>
      <c r="T23" t="str" cm="1">
        <f t="array" ref="T23">_xlfn.LET(
  _xlpm.target,IFERROR(_xlfn.TEXTBEFORE(_xlfn.TEXTAFTER($F23,"：「"),"」("),""),
  _xlpm.words,TRIM(_xlfn.TEXTSPLIT(T$3,",")),
  IF(SUM(--ISNUMBER(SEARCH(_xlpm.words,_xlpm.target)))&gt;0,"O","X")
)</f>
        <v>X</v>
      </c>
      <c r="U23" t="str" cm="1">
        <f t="array" ref="U23">_xlfn.LET(
  _xlpm.target,IFERROR(_xlfn.TEXTBEFORE(_xlfn.TEXTAFTER($F23,"：「"),"」("),""),
  _xlpm.words,TRIM(_xlfn.TEXTSPLIT(U$3,",")),
  IF(SUM(--ISNUMBER(SEARCH(_xlpm.words,_xlpm.target)))&gt;0,"O","X")
)</f>
        <v>X</v>
      </c>
      <c r="V23" t="str" cm="1">
        <f t="array" ref="V23">_xlfn.LET(
  _xlpm.target,IFERROR(_xlfn.TEXTBEFORE(_xlfn.TEXTAFTER($F23,"：「"),"」("),""),
  _xlpm.words,TRIM(_xlfn.TEXTSPLIT(V$3,",")),
  IF(SUM(--ISNUMBER(SEARCH(_xlpm.words,_xlpm.target)))&gt;0,"O","X")
)</f>
        <v>X</v>
      </c>
      <c r="W23" t="str" cm="1">
        <f t="array" ref="W23">_xlfn.LET(
  _xlpm.target,IFERROR(_xlfn.TEXTBEFORE(_xlfn.TEXTAFTER($F23,"：「"),"」("),""),
  _xlpm.words,TRIM(_xlfn.TEXTSPLIT(W$3,",")),
  IF(SUM(--ISNUMBER(SEARCH(_xlpm.words,_xlpm.target)))&gt;0,"O","X")
)</f>
        <v>X</v>
      </c>
      <c r="X23" t="str" cm="1">
        <f t="array" ref="X23">_xlfn.LET(
  _xlpm.target,IFERROR(_xlfn.TEXTBEFORE(_xlfn.TEXTAFTER($F23,"：「"),"」("),""),
  _xlpm.words,TRIM(_xlfn.TEXTSPLIT(X$3,",")),
  IF(SUM(--ISNUMBER(SEARCH(_xlpm.words,_xlpm.target)))&gt;0,"O","X")
)</f>
        <v>X</v>
      </c>
    </row>
    <row r="24" spans="1:24" ht="18.75">
      <c r="A24">
        <v>21</v>
      </c>
      <c r="B24" t="s">
        <v>51</v>
      </c>
      <c r="C24" t="s">
        <v>52</v>
      </c>
      <c r="D24" t="s">
        <v>53</v>
      </c>
      <c r="E24" t="s">
        <v>54</v>
      </c>
      <c r="F24" t="s">
        <v>106</v>
      </c>
      <c r="G24">
        <f>(LEN(F24)-LEN(SUBSTITUTE(F24,"帝網","")))/LEN("帝網")
 +(LEN(F24)-LEN(SUBSTITUTE(F24,"帝釋網","")))/LEN("帝釋網")
 +(LEN(F24)-LEN(SUBSTITUTE(F24,"因陀羅網","")))/LEN("因陀羅網")</f>
        <v>1</v>
      </c>
      <c r="H24" t="str">
        <f>_xlfn.TEXTBEFORE(_xlfn.TEXTAFTER(F24,"p. "),")")</f>
        <v>139c2-6</v>
      </c>
      <c r="I24">
        <f>LEN(_xlfn.TEXTBEFORE(_xlfn.TEXTAFTER(F24,"：「"),"」(CBETA"))</f>
        <v>84</v>
      </c>
      <c r="J24" t="s">
        <v>107</v>
      </c>
      <c r="K24" s="1" t="s">
        <v>129</v>
      </c>
      <c r="L24" s="1" t="s">
        <v>113</v>
      </c>
      <c r="M24" s="1" t="s">
        <v>135</v>
      </c>
      <c r="N24" s="1" t="s">
        <v>115</v>
      </c>
      <c r="O24" t="str" cm="1">
        <f t="array" ref="O24">_xlfn.LET(
  _xlpm.target,IFERROR(_xlfn.TEXTBEFORE(_xlfn.TEXTAFTER($F24,"：「"),"」("),""),
  _xlpm.words,TRIM(_xlfn.TEXTSPLIT(O$3,",")),
  IF(SUM(--ISNUMBER(SEARCH(_xlpm.words,_xlpm.target)))&gt;0,"O","X")
)</f>
        <v>X</v>
      </c>
      <c r="P24" t="str" cm="1">
        <f t="array" ref="P24">_xlfn.LET(
  _xlpm.target,IFERROR(_xlfn.TEXTBEFORE(_xlfn.TEXTAFTER($F24,"：「"),"」("),""),
  _xlpm.words,TRIM(_xlfn.TEXTSPLIT(P$3,",")),
  IF(SUM(--ISNUMBER(SEARCH(_xlpm.words,_xlpm.target)))&gt;0,"O","X")
)</f>
        <v>O</v>
      </c>
      <c r="Q24" t="str" cm="1">
        <f t="array" ref="Q24">_xlfn.LET(
  _xlpm.target,IFERROR(_xlfn.TEXTBEFORE(_xlfn.TEXTAFTER($F24,"：「"),"」("),""),
  _xlpm.words,TRIM(_xlfn.TEXTSPLIT(Q$3,",")),
  IF(SUM(--ISNUMBER(SEARCH(_xlpm.words,_xlpm.target)))&gt;0,"O","X")
)</f>
        <v>X</v>
      </c>
      <c r="R24" t="str" cm="1">
        <f t="array" ref="R24">_xlfn.LET(
  _xlpm.target,IFERROR(_xlfn.TEXTBEFORE(_xlfn.TEXTAFTER($F24,"：「"),"」("),""),
  _xlpm.words,TRIM(_xlfn.TEXTSPLIT(R$3,",")),
  IF(SUM(--ISNUMBER(SEARCH(_xlpm.words,_xlpm.target)))&gt;0,"O","X")
)</f>
        <v>X</v>
      </c>
      <c r="S24" t="str" cm="1">
        <f t="array" ref="S24">_xlfn.LET(
  _xlpm.target,IFERROR(_xlfn.TEXTBEFORE(_xlfn.TEXTAFTER($F24,"：「"),"」("),""),
  _xlpm.words,TRIM(_xlfn.TEXTSPLIT(S$3,",")),
  IF(SUM(--ISNUMBER(SEARCH(_xlpm.words,_xlpm.target)))&gt;0,"O","X")
)</f>
        <v>X</v>
      </c>
      <c r="T24" t="str" cm="1">
        <f t="array" ref="T24">_xlfn.LET(
  _xlpm.target,IFERROR(_xlfn.TEXTBEFORE(_xlfn.TEXTAFTER($F24,"：「"),"」("),""),
  _xlpm.words,TRIM(_xlfn.TEXTSPLIT(T$3,",")),
  IF(SUM(--ISNUMBER(SEARCH(_xlpm.words,_xlpm.target)))&gt;0,"O","X")
)</f>
        <v>X</v>
      </c>
      <c r="U24" t="str" cm="1">
        <f t="array" ref="U24">_xlfn.LET(
  _xlpm.target,IFERROR(_xlfn.TEXTBEFORE(_xlfn.TEXTAFTER($F24,"：「"),"」("),""),
  _xlpm.words,TRIM(_xlfn.TEXTSPLIT(U$3,",")),
  IF(SUM(--ISNUMBER(SEARCH(_xlpm.words,_xlpm.target)))&gt;0,"O","X")
)</f>
        <v>O</v>
      </c>
      <c r="V24" t="str" cm="1">
        <f t="array" ref="V24">_xlfn.LET(
  _xlpm.target,IFERROR(_xlfn.TEXTBEFORE(_xlfn.TEXTAFTER($F24,"：「"),"」("),""),
  _xlpm.words,TRIM(_xlfn.TEXTSPLIT(V$3,",")),
  IF(SUM(--ISNUMBER(SEARCH(_xlpm.words,_xlpm.target)))&gt;0,"O","X")
)</f>
        <v>X</v>
      </c>
      <c r="W24" t="str" cm="1">
        <f t="array" ref="W24">_xlfn.LET(
  _xlpm.target,IFERROR(_xlfn.TEXTBEFORE(_xlfn.TEXTAFTER($F24,"：「"),"」("),""),
  _xlpm.words,TRIM(_xlfn.TEXTSPLIT(W$3,",")),
  IF(SUM(--ISNUMBER(SEARCH(_xlpm.words,_xlpm.target)))&gt;0,"O","X")
)</f>
        <v>X</v>
      </c>
      <c r="X24" t="str" cm="1">
        <f t="array" ref="X24">_xlfn.LET(
  _xlpm.target,IFERROR(_xlfn.TEXTBEFORE(_xlfn.TEXTAFTER($F24,"：「"),"」("),""),
  _xlpm.words,TRIM(_xlfn.TEXTSPLIT(X$3,",")),
  IF(SUM(--ISNUMBER(SEARCH(_xlpm.words,_xlpm.target)))&gt;0,"O","X")
)</f>
        <v>X</v>
      </c>
    </row>
    <row r="25" spans="1:24" ht="18">
      <c r="A25">
        <v>22</v>
      </c>
      <c r="B25" t="s">
        <v>51</v>
      </c>
      <c r="C25" t="s">
        <v>52</v>
      </c>
      <c r="D25" t="s">
        <v>53</v>
      </c>
      <c r="E25" t="s">
        <v>54</v>
      </c>
      <c r="F25" t="s">
        <v>108</v>
      </c>
      <c r="G25">
        <f>(LEN(F25)-LEN(SUBSTITUTE(F25,"帝網","")))/LEN("帝網")
 +(LEN(F25)-LEN(SUBSTITUTE(F25,"帝釋網","")))/LEN("帝釋網")
 +(LEN(F25)-LEN(SUBSTITUTE(F25,"因陀羅網","")))/LEN("因陀羅網")</f>
        <v>1</v>
      </c>
      <c r="H25" t="str">
        <f>_xlfn.TEXTBEFORE(_xlfn.TEXTAFTER(F25,"p. "),")")</f>
        <v>139c14-15</v>
      </c>
      <c r="I25">
        <f>LEN(_xlfn.TEXTBEFORE(_xlfn.TEXTAFTER(F25,"：「"),"」(CBETA"))</f>
        <v>19</v>
      </c>
      <c r="J25" t="s">
        <v>95</v>
      </c>
      <c r="K25" s="1" t="s">
        <v>130</v>
      </c>
      <c r="L25" s="1" t="s">
        <v>120</v>
      </c>
      <c r="M25" s="1" t="s">
        <v>135</v>
      </c>
      <c r="N25" s="1" t="s">
        <v>115</v>
      </c>
      <c r="O25" t="str" cm="1">
        <f t="array" ref="O25">_xlfn.LET(
  _xlpm.target,IFERROR(_xlfn.TEXTBEFORE(_xlfn.TEXTAFTER($F25,"：「"),"」("),""),
  _xlpm.words,TRIM(_xlfn.TEXTSPLIT(O$3,",")),
  IF(SUM(--ISNUMBER(SEARCH(_xlpm.words,_xlpm.target)))&gt;0,"O","X")
)</f>
        <v>O</v>
      </c>
      <c r="P25" t="str" cm="1">
        <f t="array" ref="P25">_xlfn.LET(
  _xlpm.target,IFERROR(_xlfn.TEXTBEFORE(_xlfn.TEXTAFTER($F25,"：「"),"」("),""),
  _xlpm.words,TRIM(_xlfn.TEXTSPLIT(P$3,",")),
  IF(SUM(--ISNUMBER(SEARCH(_xlpm.words,_xlpm.target)))&gt;0,"O","X")
)</f>
        <v>O</v>
      </c>
      <c r="Q25" t="str" cm="1">
        <f t="array" ref="Q25">_xlfn.LET(
  _xlpm.target,IFERROR(_xlfn.TEXTBEFORE(_xlfn.TEXTAFTER($F25,"：「"),"」("),""),
  _xlpm.words,TRIM(_xlfn.TEXTSPLIT(Q$3,",")),
  IF(SUM(--ISNUMBER(SEARCH(_xlpm.words,_xlpm.target)))&gt;0,"O","X")
)</f>
        <v>X</v>
      </c>
      <c r="R25" t="str" cm="1">
        <f t="array" ref="R25">_xlfn.LET(
  _xlpm.target,IFERROR(_xlfn.TEXTBEFORE(_xlfn.TEXTAFTER($F25,"：「"),"」("),""),
  _xlpm.words,TRIM(_xlfn.TEXTSPLIT(R$3,",")),
  IF(SUM(--ISNUMBER(SEARCH(_xlpm.words,_xlpm.target)))&gt;0,"O","X")
)</f>
        <v>X</v>
      </c>
      <c r="S25" t="str" cm="1">
        <f t="array" ref="S25">_xlfn.LET(
  _xlpm.target,IFERROR(_xlfn.TEXTBEFORE(_xlfn.TEXTAFTER($F25,"：「"),"」("),""),
  _xlpm.words,TRIM(_xlfn.TEXTSPLIT(S$3,",")),
  IF(SUM(--ISNUMBER(SEARCH(_xlpm.words,_xlpm.target)))&gt;0,"O","X")
)</f>
        <v>X</v>
      </c>
      <c r="T25" t="str" cm="1">
        <f t="array" ref="T25">_xlfn.LET(
  _xlpm.target,IFERROR(_xlfn.TEXTBEFORE(_xlfn.TEXTAFTER($F25,"：「"),"」("),""),
  _xlpm.words,TRIM(_xlfn.TEXTSPLIT(T$3,",")),
  IF(SUM(--ISNUMBER(SEARCH(_xlpm.words,_xlpm.target)))&gt;0,"O","X")
)</f>
        <v>X</v>
      </c>
      <c r="U25" t="str" cm="1">
        <f t="array" ref="U25">_xlfn.LET(
  _xlpm.target,IFERROR(_xlfn.TEXTBEFORE(_xlfn.TEXTAFTER($F25,"：「"),"」("),""),
  _xlpm.words,TRIM(_xlfn.TEXTSPLIT(U$3,",")),
  IF(SUM(--ISNUMBER(SEARCH(_xlpm.words,_xlpm.target)))&gt;0,"O","X")
)</f>
        <v>X</v>
      </c>
      <c r="V25" t="str" cm="1">
        <f t="array" ref="V25">_xlfn.LET(
  _xlpm.target,IFERROR(_xlfn.TEXTBEFORE(_xlfn.TEXTAFTER($F25,"：「"),"」("),""),
  _xlpm.words,TRIM(_xlfn.TEXTSPLIT(V$3,",")),
  IF(SUM(--ISNUMBER(SEARCH(_xlpm.words,_xlpm.target)))&gt;0,"O","X")
)</f>
        <v>X</v>
      </c>
      <c r="W25" t="str" cm="1">
        <f t="array" ref="W25">_xlfn.LET(
  _xlpm.target,IFERROR(_xlfn.TEXTBEFORE(_xlfn.TEXTAFTER($F25,"：「"),"」("),""),
  _xlpm.words,TRIM(_xlfn.TEXTSPLIT(W$3,",")),
  IF(SUM(--ISNUMBER(SEARCH(_xlpm.words,_xlpm.target)))&gt;0,"O","X")
)</f>
        <v>X</v>
      </c>
      <c r="X25" t="str" cm="1">
        <f t="array" ref="X25">_xlfn.LET(
  _xlpm.target,IFERROR(_xlfn.TEXTBEFORE(_xlfn.TEXTAFTER($F25,"：「"),"」("),""),
  _xlpm.words,TRIM(_xlfn.TEXTSPLIT(X$3,",")),
  IF(SUM(--ISNUMBER(SEARCH(_xlpm.words,_xlpm.target)))&gt;0,"O","X")
)</f>
        <v>O</v>
      </c>
    </row>
    <row r="26" spans="1:24">
      <c r="A26">
        <v>23</v>
      </c>
      <c r="B26" t="s">
        <v>55</v>
      </c>
      <c r="C26" t="s">
        <v>56</v>
      </c>
      <c r="D26" t="s">
        <v>57</v>
      </c>
      <c r="E26" t="s">
        <v>111</v>
      </c>
      <c r="F26" t="s">
        <v>58</v>
      </c>
      <c r="G26">
        <f>(LEN(F26)-LEN(SUBSTITUTE(F26,"帝網","")))/LEN("帝網")
 +(LEN(F26)-LEN(SUBSTITUTE(F26,"帝釋網","")))/LEN("帝釋網")
 +(LEN(F26)-LEN(SUBSTITUTE(F26,"因陀羅網","")))/LEN("因陀羅網")</f>
        <v>1</v>
      </c>
      <c r="H26" t="str">
        <f>_xlfn.TEXTBEFORE(_xlfn.TEXTAFTER(F26,"p. "),")")</f>
        <v>524a9-12</v>
      </c>
      <c r="I26">
        <f>LEN(_xlfn.TEXTBEFORE(_xlfn.TEXTAFTER(F26,"：「"),"」(CBETA"))</f>
        <v>56</v>
      </c>
      <c r="J26" t="s">
        <v>15</v>
      </c>
      <c r="K26" s="1"/>
      <c r="L26" s="1" t="s">
        <v>120</v>
      </c>
      <c r="M26" s="1" t="s">
        <v>135</v>
      </c>
      <c r="N26" s="1" t="s">
        <v>121</v>
      </c>
      <c r="O26" t="str" cm="1">
        <f t="array" ref="O26">_xlfn.LET(
  _xlpm.target,IFERROR(_xlfn.TEXTBEFORE(_xlfn.TEXTAFTER($F26,"：「"),"」("),""),
  _xlpm.words,TRIM(_xlfn.TEXTSPLIT(O$3,",")),
  IF(SUM(--ISNUMBER(SEARCH(_xlpm.words,_xlpm.target)))&gt;0,"O","X")
)</f>
        <v>X</v>
      </c>
      <c r="P26" t="str" cm="1">
        <f t="array" ref="P26">_xlfn.LET(
  _xlpm.target,IFERROR(_xlfn.TEXTBEFORE(_xlfn.TEXTAFTER($F26,"：「"),"」("),""),
  _xlpm.words,TRIM(_xlfn.TEXTSPLIT(P$3,",")),
  IF(SUM(--ISNUMBER(SEARCH(_xlpm.words,_xlpm.target)))&gt;0,"O","X")
)</f>
        <v>O</v>
      </c>
      <c r="Q26" t="str" cm="1">
        <f t="array" ref="Q26">_xlfn.LET(
  _xlpm.target,IFERROR(_xlfn.TEXTBEFORE(_xlfn.TEXTAFTER($F26,"：「"),"」("),""),
  _xlpm.words,TRIM(_xlfn.TEXTSPLIT(Q$3,",")),
  IF(SUM(--ISNUMBER(SEARCH(_xlpm.words,_xlpm.target)))&gt;0,"O","X")
)</f>
        <v>X</v>
      </c>
      <c r="R26" t="str" cm="1">
        <f t="array" ref="R26">_xlfn.LET(
  _xlpm.target,IFERROR(_xlfn.TEXTBEFORE(_xlfn.TEXTAFTER($F26,"：「"),"」("),""),
  _xlpm.words,TRIM(_xlfn.TEXTSPLIT(R$3,",")),
  IF(SUM(--ISNUMBER(SEARCH(_xlpm.words,_xlpm.target)))&gt;0,"O","X")
)</f>
        <v>X</v>
      </c>
      <c r="S26" t="str" cm="1">
        <f t="array" ref="S26">_xlfn.LET(
  _xlpm.target,IFERROR(_xlfn.TEXTBEFORE(_xlfn.TEXTAFTER($F26,"：「"),"」("),""),
  _xlpm.words,TRIM(_xlfn.TEXTSPLIT(S$3,",")),
  IF(SUM(--ISNUMBER(SEARCH(_xlpm.words,_xlpm.target)))&gt;0,"O","X")
)</f>
        <v>X</v>
      </c>
      <c r="T26" t="str" cm="1">
        <f t="array" ref="T26">_xlfn.LET(
  _xlpm.target,IFERROR(_xlfn.TEXTBEFORE(_xlfn.TEXTAFTER($F26,"：「"),"」("),""),
  _xlpm.words,TRIM(_xlfn.TEXTSPLIT(T$3,",")),
  IF(SUM(--ISNUMBER(SEARCH(_xlpm.words,_xlpm.target)))&gt;0,"O","X")
)</f>
        <v>X</v>
      </c>
      <c r="U26" t="str" cm="1">
        <f t="array" ref="U26">_xlfn.LET(
  _xlpm.target,IFERROR(_xlfn.TEXTBEFORE(_xlfn.TEXTAFTER($F26,"：「"),"」("),""),
  _xlpm.words,TRIM(_xlfn.TEXTSPLIT(U$3,",")),
  IF(SUM(--ISNUMBER(SEARCH(_xlpm.words,_xlpm.target)))&gt;0,"O","X")
)</f>
        <v>O</v>
      </c>
      <c r="V26" t="str" cm="1">
        <f t="array" ref="V26">_xlfn.LET(
  _xlpm.target,IFERROR(_xlfn.TEXTBEFORE(_xlfn.TEXTAFTER($F26,"：「"),"」("),""),
  _xlpm.words,TRIM(_xlfn.TEXTSPLIT(V$3,",")),
  IF(SUM(--ISNUMBER(SEARCH(_xlpm.words,_xlpm.target)))&gt;0,"O","X")
)</f>
        <v>O</v>
      </c>
      <c r="W26" t="str" cm="1">
        <f t="array" ref="W26">_xlfn.LET(
  _xlpm.target,IFERROR(_xlfn.TEXTBEFORE(_xlfn.TEXTAFTER($F26,"：「"),"」("),""),
  _xlpm.words,TRIM(_xlfn.TEXTSPLIT(W$3,",")),
  IF(SUM(--ISNUMBER(SEARCH(_xlpm.words,_xlpm.target)))&gt;0,"O","X")
)</f>
        <v>X</v>
      </c>
      <c r="X26" t="str" cm="1">
        <f t="array" ref="X26">_xlfn.LET(
  _xlpm.target,IFERROR(_xlfn.TEXTBEFORE(_xlfn.TEXTAFTER($F26,"：「"),"」("),""),
  _xlpm.words,TRIM(_xlfn.TEXTSPLIT(X$3,",")),
  IF(SUM(--ISNUMBER(SEARCH(_xlpm.words,_xlpm.target)))&gt;0,"O","X")
)</f>
        <v>X</v>
      </c>
    </row>
    <row r="27" spans="1:24">
      <c r="A27">
        <v>24</v>
      </c>
      <c r="B27" t="s">
        <v>59</v>
      </c>
      <c r="C27" t="s">
        <v>60</v>
      </c>
      <c r="D27" t="s">
        <v>61</v>
      </c>
      <c r="E27" t="s">
        <v>62</v>
      </c>
      <c r="F27" t="s">
        <v>217</v>
      </c>
      <c r="G27">
        <f>(LEN(F27)-LEN(SUBSTITUTE(F27,"帝網","")))/LEN("帝網")
 +(LEN(F27)-LEN(SUBSTITUTE(F27,"帝釋網","")))/LEN("帝釋網")
 +(LEN(F27)-LEN(SUBSTITUTE(F27,"因陀羅網","")))/LEN("因陀羅網")</f>
        <v>3</v>
      </c>
      <c r="H27" t="str">
        <f>_xlfn.TEXTBEFORE(_xlfn.TEXTAFTER(F27,"p. "),")")</f>
        <v>330c24-25</v>
      </c>
      <c r="I27">
        <f>LEN(_xlfn.TEXTBEFORE(_xlfn.TEXTAFTER(F27,"：「"),"」(CBETA"))</f>
        <v>38</v>
      </c>
      <c r="J27" t="s">
        <v>95</v>
      </c>
      <c r="K27" s="1" t="s">
        <v>246</v>
      </c>
      <c r="L27" s="1" t="s">
        <v>120</v>
      </c>
      <c r="M27" s="1" t="s">
        <v>136</v>
      </c>
      <c r="N27" s="1" t="s">
        <v>118</v>
      </c>
      <c r="O27" t="str" cm="1">
        <f t="array" ref="O27">_xlfn.LET(
  _xlpm.target,IFERROR(_xlfn.TEXTBEFORE(_xlfn.TEXTAFTER($F27,"：「"),"」("),""),
  _xlpm.words,TRIM(_xlfn.TEXTSPLIT(O$3,",")),
  IF(SUM(--ISNUMBER(SEARCH(_xlpm.words,_xlpm.target)))&gt;0,"O","X")
)</f>
        <v>O</v>
      </c>
      <c r="P27" t="str" cm="1">
        <f t="array" ref="P27">_xlfn.LET(
  _xlpm.target,IFERROR(_xlfn.TEXTBEFORE(_xlfn.TEXTAFTER($F27,"：「"),"」("),""),
  _xlpm.words,TRIM(_xlfn.TEXTSPLIT(P$3,",")),
  IF(SUM(--ISNUMBER(SEARCH(_xlpm.words,_xlpm.target)))&gt;0,"O","X")
)</f>
        <v>X</v>
      </c>
      <c r="Q27" t="str" cm="1">
        <f t="array" ref="Q27">_xlfn.LET(
  _xlpm.target,IFERROR(_xlfn.TEXTBEFORE(_xlfn.TEXTAFTER($F27,"：「"),"」("),""),
  _xlpm.words,TRIM(_xlfn.TEXTSPLIT(Q$3,",")),
  IF(SUM(--ISNUMBER(SEARCH(_xlpm.words,_xlpm.target)))&gt;0,"O","X")
)</f>
        <v>X</v>
      </c>
      <c r="R27" t="str" cm="1">
        <f t="array" ref="R27">_xlfn.LET(
  _xlpm.target,IFERROR(_xlfn.TEXTBEFORE(_xlfn.TEXTAFTER($F27,"：「"),"」("),""),
  _xlpm.words,TRIM(_xlfn.TEXTSPLIT(R$3,",")),
  IF(SUM(--ISNUMBER(SEARCH(_xlpm.words,_xlpm.target)))&gt;0,"O","X")
)</f>
        <v>X</v>
      </c>
      <c r="S27" t="str" cm="1">
        <f t="array" ref="S27">_xlfn.LET(
  _xlpm.target,IFERROR(_xlfn.TEXTBEFORE(_xlfn.TEXTAFTER($F27,"：「"),"」("),""),
  _xlpm.words,TRIM(_xlfn.TEXTSPLIT(S$3,",")),
  IF(SUM(--ISNUMBER(SEARCH(_xlpm.words,_xlpm.target)))&gt;0,"O","X")
)</f>
        <v>X</v>
      </c>
      <c r="T27" t="str" cm="1">
        <f t="array" ref="T27">_xlfn.LET(
  _xlpm.target,IFERROR(_xlfn.TEXTBEFORE(_xlfn.TEXTAFTER($F27,"：「"),"」("),""),
  _xlpm.words,TRIM(_xlfn.TEXTSPLIT(T$3,",")),
  IF(SUM(--ISNUMBER(SEARCH(_xlpm.words,_xlpm.target)))&gt;0,"O","X")
)</f>
        <v>X</v>
      </c>
      <c r="U27" t="str" cm="1">
        <f t="array" ref="U27">_xlfn.LET(
  _xlpm.target,IFERROR(_xlfn.TEXTBEFORE(_xlfn.TEXTAFTER($F27,"：「"),"」("),""),
  _xlpm.words,TRIM(_xlfn.TEXTSPLIT(U$3,",")),
  IF(SUM(--ISNUMBER(SEARCH(_xlpm.words,_xlpm.target)))&gt;0,"O","X")
)</f>
        <v>X</v>
      </c>
      <c r="V27" t="str" cm="1">
        <f t="array" ref="V27">_xlfn.LET(
  _xlpm.target,IFERROR(_xlfn.TEXTBEFORE(_xlfn.TEXTAFTER($F27,"：「"),"」("),""),
  _xlpm.words,TRIM(_xlfn.TEXTSPLIT(V$3,",")),
  IF(SUM(--ISNUMBER(SEARCH(_xlpm.words,_xlpm.target)))&gt;0,"O","X")
)</f>
        <v>X</v>
      </c>
      <c r="W27" t="str" cm="1">
        <f t="array" ref="W27">_xlfn.LET(
  _xlpm.target,IFERROR(_xlfn.TEXTBEFORE(_xlfn.TEXTAFTER($F27,"：「"),"」("),""),
  _xlpm.words,TRIM(_xlfn.TEXTSPLIT(W$3,",")),
  IF(SUM(--ISNUMBER(SEARCH(_xlpm.words,_xlpm.target)))&gt;0,"O","X")
)</f>
        <v>X</v>
      </c>
      <c r="X27" t="str" cm="1">
        <f t="array" ref="X27">_xlfn.LET(
  _xlpm.target,IFERROR(_xlfn.TEXTBEFORE(_xlfn.TEXTAFTER($F27,"：「"),"」("),""),
  _xlpm.words,TRIM(_xlfn.TEXTSPLIT(X$3,",")),
  IF(SUM(--ISNUMBER(SEARCH(_xlpm.words,_xlpm.target)))&gt;0,"O","X")
)</f>
        <v>X</v>
      </c>
    </row>
    <row r="28" spans="1:24">
      <c r="A28">
        <v>25</v>
      </c>
      <c r="B28" t="s">
        <v>63</v>
      </c>
      <c r="C28" t="s">
        <v>64</v>
      </c>
      <c r="D28" t="s">
        <v>65</v>
      </c>
      <c r="E28" t="s">
        <v>66</v>
      </c>
      <c r="F28" t="s">
        <v>99</v>
      </c>
      <c r="G28">
        <f>(LEN(F28)-LEN(SUBSTITUTE(F28,"帝網","")))/LEN("帝網")
 +(LEN(F28)-LEN(SUBSTITUTE(F28,"帝釋網","")))/LEN("帝釋網")
 +(LEN(F28)-LEN(SUBSTITUTE(F28,"因陀羅網","")))/LEN("因陀羅網")</f>
        <v>3</v>
      </c>
      <c r="H28" t="str">
        <f>_xlfn.TEXTBEFORE(_xlfn.TEXTAFTER(F28,"p. "),")")</f>
        <v>922c23-25</v>
      </c>
      <c r="I28">
        <f>LEN(_xlfn.TEXTBEFORE(_xlfn.TEXTAFTER(F28,"：「"),"」(CBETA"))</f>
        <v>37</v>
      </c>
      <c r="J28" t="s">
        <v>95</v>
      </c>
      <c r="K28" s="1"/>
      <c r="L28" s="1" t="s">
        <v>120</v>
      </c>
      <c r="M28" s="1" t="s">
        <v>136</v>
      </c>
      <c r="N28" s="1" t="s">
        <v>118</v>
      </c>
      <c r="O28" t="str" cm="1">
        <f t="array" ref="O28">_xlfn.LET(
  _xlpm.target,IFERROR(_xlfn.TEXTBEFORE(_xlfn.TEXTAFTER($F28,"：「"),"」("),""),
  _xlpm.words,TRIM(_xlfn.TEXTSPLIT(O$3,",")),
  IF(SUM(--ISNUMBER(SEARCH(_xlpm.words,_xlpm.target)))&gt;0,"O","X")
)</f>
        <v>O</v>
      </c>
      <c r="P28" t="str" cm="1">
        <f t="array" ref="P28">_xlfn.LET(
  _xlpm.target,IFERROR(_xlfn.TEXTBEFORE(_xlfn.TEXTAFTER($F28,"：「"),"」("),""),
  _xlpm.words,TRIM(_xlfn.TEXTSPLIT(P$3,",")),
  IF(SUM(--ISNUMBER(SEARCH(_xlpm.words,_xlpm.target)))&gt;0,"O","X")
)</f>
        <v>X</v>
      </c>
      <c r="Q28" t="str" cm="1">
        <f t="array" ref="Q28">_xlfn.LET(
  _xlpm.target,IFERROR(_xlfn.TEXTBEFORE(_xlfn.TEXTAFTER($F28,"：「"),"」("),""),
  _xlpm.words,TRIM(_xlfn.TEXTSPLIT(Q$3,",")),
  IF(SUM(--ISNUMBER(SEARCH(_xlpm.words,_xlpm.target)))&gt;0,"O","X")
)</f>
        <v>X</v>
      </c>
      <c r="R28" t="str" cm="1">
        <f t="array" ref="R28">_xlfn.LET(
  _xlpm.target,IFERROR(_xlfn.TEXTBEFORE(_xlfn.TEXTAFTER($F28,"：「"),"」("),""),
  _xlpm.words,TRIM(_xlfn.TEXTSPLIT(R$3,",")),
  IF(SUM(--ISNUMBER(SEARCH(_xlpm.words,_xlpm.target)))&gt;0,"O","X")
)</f>
        <v>X</v>
      </c>
      <c r="S28" t="str" cm="1">
        <f t="array" ref="S28">_xlfn.LET(
  _xlpm.target,IFERROR(_xlfn.TEXTBEFORE(_xlfn.TEXTAFTER($F28,"：「"),"」("),""),
  _xlpm.words,TRIM(_xlfn.TEXTSPLIT(S$3,",")),
  IF(SUM(--ISNUMBER(SEARCH(_xlpm.words,_xlpm.target)))&gt;0,"O","X")
)</f>
        <v>X</v>
      </c>
      <c r="T28" t="str" cm="1">
        <f t="array" ref="T28">_xlfn.LET(
  _xlpm.target,IFERROR(_xlfn.TEXTBEFORE(_xlfn.TEXTAFTER($F28,"：「"),"」("),""),
  _xlpm.words,TRIM(_xlfn.TEXTSPLIT(T$3,",")),
  IF(SUM(--ISNUMBER(SEARCH(_xlpm.words,_xlpm.target)))&gt;0,"O","X")
)</f>
        <v>X</v>
      </c>
      <c r="U28" t="str" cm="1">
        <f t="array" ref="U28">_xlfn.LET(
  _xlpm.target,IFERROR(_xlfn.TEXTBEFORE(_xlfn.TEXTAFTER($F28,"：「"),"」("),""),
  _xlpm.words,TRIM(_xlfn.TEXTSPLIT(U$3,",")),
  IF(SUM(--ISNUMBER(SEARCH(_xlpm.words,_xlpm.target)))&gt;0,"O","X")
)</f>
        <v>X</v>
      </c>
      <c r="V28" t="str" cm="1">
        <f t="array" ref="V28">_xlfn.LET(
  _xlpm.target,IFERROR(_xlfn.TEXTBEFORE(_xlfn.TEXTAFTER($F28,"：「"),"」("),""),
  _xlpm.words,TRIM(_xlfn.TEXTSPLIT(V$3,",")),
  IF(SUM(--ISNUMBER(SEARCH(_xlpm.words,_xlpm.target)))&gt;0,"O","X")
)</f>
        <v>X</v>
      </c>
      <c r="W28" t="str" cm="1">
        <f t="array" ref="W28">_xlfn.LET(
  _xlpm.target,IFERROR(_xlfn.TEXTBEFORE(_xlfn.TEXTAFTER($F28,"：「"),"」("),""),
  _xlpm.words,TRIM(_xlfn.TEXTSPLIT(W$3,",")),
  IF(SUM(--ISNUMBER(SEARCH(_xlpm.words,_xlpm.target)))&gt;0,"O","X")
)</f>
        <v>X</v>
      </c>
      <c r="X28" t="str" cm="1">
        <f t="array" ref="X28">_xlfn.LET(
  _xlpm.target,IFERROR(_xlfn.TEXTBEFORE(_xlfn.TEXTAFTER($F28,"：「"),"」("),""),
  _xlpm.words,TRIM(_xlfn.TEXTSPLIT(X$3,",")),
  IF(SUM(--ISNUMBER(SEARCH(_xlpm.words,_xlpm.target)))&gt;0,"O","X")
)</f>
        <v>X</v>
      </c>
    </row>
    <row r="29" spans="1:24" ht="18.75">
      <c r="A29">
        <v>26</v>
      </c>
      <c r="B29" t="s">
        <v>67</v>
      </c>
      <c r="C29" t="s">
        <v>68</v>
      </c>
      <c r="D29" t="s">
        <v>69</v>
      </c>
      <c r="E29" t="s">
        <v>70</v>
      </c>
      <c r="F29" t="s">
        <v>222</v>
      </c>
      <c r="G29">
        <f>(LEN(F29)-LEN(SUBSTITUTE(F29,"帝網","")))/LEN("帝網")
 +(LEN(F29)-LEN(SUBSTITUTE(F29,"帝釋網","")))/LEN("帝釋網")
 +(LEN(F29)-LEN(SUBSTITUTE(F29,"因陀羅網","")))/LEN("因陀羅網")</f>
        <v>1</v>
      </c>
      <c r="H29" t="str">
        <f>_xlfn.TEXTBEFORE(_xlfn.TEXTAFTER(F29,"p. "),")")</f>
        <v>569a17-21</v>
      </c>
      <c r="I29">
        <f>LEN(_xlfn.TEXTBEFORE(_xlfn.TEXTAFTER(F29,"：「"),"」(CBETA"))</f>
        <v>94</v>
      </c>
      <c r="J29" t="s">
        <v>95</v>
      </c>
      <c r="K29" s="1"/>
      <c r="L29" s="1" t="s">
        <v>120</v>
      </c>
      <c r="M29" s="1" t="s">
        <v>136</v>
      </c>
      <c r="N29" s="1" t="s">
        <v>122</v>
      </c>
      <c r="O29" t="str" cm="1">
        <f t="array" ref="O29">_xlfn.LET(
  _xlpm.target,IFERROR(_xlfn.TEXTBEFORE(_xlfn.TEXTAFTER($F29,"：「"),"」("),""),
  _xlpm.words,TRIM(_xlfn.TEXTSPLIT(O$3,",")),
  IF(SUM(--ISNUMBER(SEARCH(_xlpm.words,_xlpm.target)))&gt;0,"O","X")
)</f>
        <v>X</v>
      </c>
      <c r="P29" t="str" cm="1">
        <f t="array" ref="P29">_xlfn.LET(
  _xlpm.target,IFERROR(_xlfn.TEXTBEFORE(_xlfn.TEXTAFTER($F29,"：「"),"」("),""),
  _xlpm.words,TRIM(_xlfn.TEXTSPLIT(P$3,",")),
  IF(SUM(--ISNUMBER(SEARCH(_xlpm.words,_xlpm.target)))&gt;0,"O","X")
)</f>
        <v>O</v>
      </c>
      <c r="Q29" t="str" cm="1">
        <f t="array" ref="Q29">_xlfn.LET(
  _xlpm.target,IFERROR(_xlfn.TEXTBEFORE(_xlfn.TEXTAFTER($F29,"：「"),"」("),""),
  _xlpm.words,TRIM(_xlfn.TEXTSPLIT(Q$3,",")),
  IF(SUM(--ISNUMBER(SEARCH(_xlpm.words,_xlpm.target)))&gt;0,"O","X")
)</f>
        <v>X</v>
      </c>
      <c r="R29" t="str" cm="1">
        <f t="array" ref="R29">_xlfn.LET(
  _xlpm.target,IFERROR(_xlfn.TEXTBEFORE(_xlfn.TEXTAFTER($F29,"：「"),"」("),""),
  _xlpm.words,TRIM(_xlfn.TEXTSPLIT(R$3,",")),
  IF(SUM(--ISNUMBER(SEARCH(_xlpm.words,_xlpm.target)))&gt;0,"O","X")
)</f>
        <v>X</v>
      </c>
      <c r="S29" t="str" cm="1">
        <f t="array" ref="S29">_xlfn.LET(
  _xlpm.target,IFERROR(_xlfn.TEXTBEFORE(_xlfn.TEXTAFTER($F29,"：「"),"」("),""),
  _xlpm.words,TRIM(_xlfn.TEXTSPLIT(S$3,",")),
  IF(SUM(--ISNUMBER(SEARCH(_xlpm.words,_xlpm.target)))&gt;0,"O","X")
)</f>
        <v>X</v>
      </c>
      <c r="T29" t="str" cm="1">
        <f t="array" ref="T29">_xlfn.LET(
  _xlpm.target,IFERROR(_xlfn.TEXTBEFORE(_xlfn.TEXTAFTER($F29,"：「"),"」("),""),
  _xlpm.words,TRIM(_xlfn.TEXTSPLIT(T$3,",")),
  IF(SUM(--ISNUMBER(SEARCH(_xlpm.words,_xlpm.target)))&gt;0,"O","X")
)</f>
        <v>O</v>
      </c>
      <c r="U29" t="str" cm="1">
        <f t="array" ref="U29">_xlfn.LET(
  _xlpm.target,IFERROR(_xlfn.TEXTBEFORE(_xlfn.TEXTAFTER($F29,"：「"),"」("),""),
  _xlpm.words,TRIM(_xlfn.TEXTSPLIT(U$3,",")),
  IF(SUM(--ISNUMBER(SEARCH(_xlpm.words,_xlpm.target)))&gt;0,"O","X")
)</f>
        <v>O</v>
      </c>
      <c r="V29" t="str" cm="1">
        <f t="array" ref="V29">_xlfn.LET(
  _xlpm.target,IFERROR(_xlfn.TEXTBEFORE(_xlfn.TEXTAFTER($F29,"：「"),"」("),""),
  _xlpm.words,TRIM(_xlfn.TEXTSPLIT(V$3,",")),
  IF(SUM(--ISNUMBER(SEARCH(_xlpm.words,_xlpm.target)))&gt;0,"O","X")
)</f>
        <v>X</v>
      </c>
      <c r="W29" t="str" cm="1">
        <f t="array" ref="W29">_xlfn.LET(
  _xlpm.target,IFERROR(_xlfn.TEXTBEFORE(_xlfn.TEXTAFTER($F29,"：「"),"」("),""),
  _xlpm.words,TRIM(_xlfn.TEXTSPLIT(W$3,",")),
  IF(SUM(--ISNUMBER(SEARCH(_xlpm.words,_xlpm.target)))&gt;0,"O","X")
)</f>
        <v>X</v>
      </c>
      <c r="X29" t="str" cm="1">
        <f t="array" ref="X29">_xlfn.LET(
  _xlpm.target,IFERROR(_xlfn.TEXTBEFORE(_xlfn.TEXTAFTER($F29,"：「"),"」("),""),
  _xlpm.words,TRIM(_xlfn.TEXTSPLIT(X$3,",")),
  IF(SUM(--ISNUMBER(SEARCH(_xlpm.words,_xlpm.target)))&gt;0,"O","X")
)</f>
        <v>X</v>
      </c>
    </row>
    <row r="30" spans="1:24">
      <c r="A30">
        <v>27</v>
      </c>
      <c r="B30" t="s">
        <v>71</v>
      </c>
      <c r="C30" t="s">
        <v>72</v>
      </c>
      <c r="D30" t="s">
        <v>73</v>
      </c>
      <c r="E30" t="s">
        <v>74</v>
      </c>
      <c r="F30" t="s">
        <v>75</v>
      </c>
      <c r="G30">
        <f>(LEN(F30)-LEN(SUBSTITUTE(F30,"帝網","")))/LEN("帝網")
 +(LEN(F30)-LEN(SUBSTITUTE(F30,"帝釋網","")))/LEN("帝釋網")
 +(LEN(F30)-LEN(SUBSTITUTE(F30,"因陀羅網","")))/LEN("因陀羅網")</f>
        <v>1</v>
      </c>
      <c r="H30" t="str">
        <f>_xlfn.TEXTBEFORE(_xlfn.TEXTAFTER(F30,"p. "),")")</f>
        <v>835b16-23</v>
      </c>
      <c r="I30">
        <f>LEN(_xlfn.TEXTBEFORE(_xlfn.TEXTAFTER(F30,"：「"),"」(CBETA"))</f>
        <v>145</v>
      </c>
      <c r="J30" t="s">
        <v>95</v>
      </c>
      <c r="K30" s="1" t="s">
        <v>242</v>
      </c>
      <c r="L30" s="1" t="s">
        <v>123</v>
      </c>
      <c r="M30" s="1" t="s">
        <v>136</v>
      </c>
      <c r="N30" s="1" t="s">
        <v>241</v>
      </c>
      <c r="O30" t="str" cm="1">
        <f t="array" ref="O30">_xlfn.LET(
  _xlpm.target,IFERROR(_xlfn.TEXTBEFORE(_xlfn.TEXTAFTER($F30,"：「"),"」("),""),
  _xlpm.words,TRIM(_xlfn.TEXTSPLIT(O$3,",")),
  IF(SUM(--ISNUMBER(SEARCH(_xlpm.words,_xlpm.target)))&gt;0,"O","X")
)</f>
        <v>X</v>
      </c>
      <c r="P30" t="str" cm="1">
        <f t="array" ref="P30">_xlfn.LET(
  _xlpm.target,IFERROR(_xlfn.TEXTBEFORE(_xlfn.TEXTAFTER($F30,"：「"),"」("),""),
  _xlpm.words,TRIM(_xlfn.TEXTSPLIT(P$3,",")),
  IF(SUM(--ISNUMBER(SEARCH(_xlpm.words,_xlpm.target)))&gt;0,"O","X")
)</f>
        <v>X</v>
      </c>
      <c r="Q30" t="str" cm="1">
        <f t="array" ref="Q30">_xlfn.LET(
  _xlpm.target,IFERROR(_xlfn.TEXTBEFORE(_xlfn.TEXTAFTER($F30,"：「"),"」("),""),
  _xlpm.words,TRIM(_xlfn.TEXTSPLIT(Q$3,",")),
  IF(SUM(--ISNUMBER(SEARCH(_xlpm.words,_xlpm.target)))&gt;0,"O","X")
)</f>
        <v>O</v>
      </c>
      <c r="R30" t="str" cm="1">
        <f t="array" ref="R30">_xlfn.LET(
  _xlpm.target,IFERROR(_xlfn.TEXTBEFORE(_xlfn.TEXTAFTER($F30,"：「"),"」("),""),
  _xlpm.words,TRIM(_xlfn.TEXTSPLIT(R$3,",")),
  IF(SUM(--ISNUMBER(SEARCH(_xlpm.words,_xlpm.target)))&gt;0,"O","X")
)</f>
        <v>X</v>
      </c>
      <c r="S30" t="str" cm="1">
        <f t="array" ref="S30">_xlfn.LET(
  _xlpm.target,IFERROR(_xlfn.TEXTBEFORE(_xlfn.TEXTAFTER($F30,"：「"),"」("),""),
  _xlpm.words,TRIM(_xlfn.TEXTSPLIT(S$3,",")),
  IF(SUM(--ISNUMBER(SEARCH(_xlpm.words,_xlpm.target)))&gt;0,"O","X")
)</f>
        <v>O</v>
      </c>
      <c r="T30" t="str" cm="1">
        <f t="array" ref="T30">_xlfn.LET(
  _xlpm.target,IFERROR(_xlfn.TEXTBEFORE(_xlfn.TEXTAFTER($F30,"：「"),"」("),""),
  _xlpm.words,TRIM(_xlfn.TEXTSPLIT(T$3,",")),
  IF(SUM(--ISNUMBER(SEARCH(_xlpm.words,_xlpm.target)))&gt;0,"O","X")
)</f>
        <v>O</v>
      </c>
      <c r="U30" t="str" cm="1">
        <f t="array" ref="U30">_xlfn.LET(
  _xlpm.target,IFERROR(_xlfn.TEXTBEFORE(_xlfn.TEXTAFTER($F30,"：「"),"」("),""),
  _xlpm.words,TRIM(_xlfn.TEXTSPLIT(U$3,",")),
  IF(SUM(--ISNUMBER(SEARCH(_xlpm.words,_xlpm.target)))&gt;0,"O","X")
)</f>
        <v>O</v>
      </c>
      <c r="V30" t="str" cm="1">
        <f t="array" ref="V30">_xlfn.LET(
  _xlpm.target,IFERROR(_xlfn.TEXTBEFORE(_xlfn.TEXTAFTER($F30,"：「"),"」("),""),
  _xlpm.words,TRIM(_xlfn.TEXTSPLIT(V$3,",")),
  IF(SUM(--ISNUMBER(SEARCH(_xlpm.words,_xlpm.target)))&gt;0,"O","X")
)</f>
        <v>X</v>
      </c>
      <c r="W30" t="str" cm="1">
        <f t="array" ref="W30">_xlfn.LET(
  _xlpm.target,IFERROR(_xlfn.TEXTBEFORE(_xlfn.TEXTAFTER($F30,"：「"),"」("),""),
  _xlpm.words,TRIM(_xlfn.TEXTSPLIT(W$3,",")),
  IF(SUM(--ISNUMBER(SEARCH(_xlpm.words,_xlpm.target)))&gt;0,"O","X")
)</f>
        <v>O</v>
      </c>
      <c r="X30" t="str" cm="1">
        <f t="array" ref="X30">_xlfn.LET(
  _xlpm.target,IFERROR(_xlfn.TEXTBEFORE(_xlfn.TEXTAFTER($F30,"：「"),"」("),""),
  _xlpm.words,TRIM(_xlfn.TEXTSPLIT(X$3,",")),
  IF(SUM(--ISNUMBER(SEARCH(_xlpm.words,_xlpm.target)))&gt;0,"O","X")
)</f>
        <v>O</v>
      </c>
    </row>
    <row r="31" spans="1:24">
      <c r="A31">
        <v>28</v>
      </c>
      <c r="B31" t="s">
        <v>76</v>
      </c>
      <c r="C31" t="s">
        <v>77</v>
      </c>
      <c r="D31" t="s">
        <v>78</v>
      </c>
      <c r="E31" t="s">
        <v>79</v>
      </c>
      <c r="F31" t="s">
        <v>104</v>
      </c>
      <c r="G31">
        <f>(LEN(F31)-LEN(SUBSTITUTE(F31,"帝網","")))/LEN("帝網")
 +(LEN(F31)-LEN(SUBSTITUTE(F31,"帝釋網","")))/LEN("帝釋網")
 +(LEN(F31)-LEN(SUBSTITUTE(F31,"因陀羅網","")))/LEN("因陀羅網")</f>
        <v>1</v>
      </c>
      <c r="H31" t="str">
        <f>_xlfn.TEXTBEFORE(_xlfn.TEXTAFTER(F31,"p. "),")")</f>
        <v>661c5-7</v>
      </c>
      <c r="I31">
        <f>LEN(_xlfn.TEXTBEFORE(_xlfn.TEXTAFTER(F31,"：「"),"」(CBETA"))</f>
        <v>40</v>
      </c>
      <c r="J31" t="s">
        <v>15</v>
      </c>
      <c r="K31" s="1" t="s">
        <v>131</v>
      </c>
      <c r="L31" s="1" t="s">
        <v>123</v>
      </c>
      <c r="M31" s="1" t="s">
        <v>136</v>
      </c>
      <c r="N31" s="1" t="s">
        <v>114</v>
      </c>
      <c r="O31" t="str" cm="1">
        <f t="array" ref="O31">_xlfn.LET(
  _xlpm.target,IFERROR(_xlfn.TEXTBEFORE(_xlfn.TEXTAFTER($F31,"：「"),"」("),""),
  _xlpm.words,TRIM(_xlfn.TEXTSPLIT(O$3,",")),
  IF(SUM(--ISNUMBER(SEARCH(_xlpm.words,_xlpm.target)))&gt;0,"O","X")
)</f>
        <v>X</v>
      </c>
      <c r="P31" t="str" cm="1">
        <f t="array" ref="P31">_xlfn.LET(
  _xlpm.target,IFERROR(_xlfn.TEXTBEFORE(_xlfn.TEXTAFTER($F31,"：「"),"」("),""),
  _xlpm.words,TRIM(_xlfn.TEXTSPLIT(P$3,",")),
  IF(SUM(--ISNUMBER(SEARCH(_xlpm.words,_xlpm.target)))&gt;0,"O","X")
)</f>
        <v>X</v>
      </c>
      <c r="Q31" t="str" cm="1">
        <f t="array" ref="Q31">_xlfn.LET(
  _xlpm.target,IFERROR(_xlfn.TEXTBEFORE(_xlfn.TEXTAFTER($F31,"：「"),"」("),""),
  _xlpm.words,TRIM(_xlfn.TEXTSPLIT(Q$3,",")),
  IF(SUM(--ISNUMBER(SEARCH(_xlpm.words,_xlpm.target)))&gt;0,"O","X")
)</f>
        <v>O</v>
      </c>
      <c r="R31" t="str" cm="1">
        <f t="array" ref="R31">_xlfn.LET(
  _xlpm.target,IFERROR(_xlfn.TEXTBEFORE(_xlfn.TEXTAFTER($F31,"：「"),"」("),""),
  _xlpm.words,TRIM(_xlfn.TEXTSPLIT(R$3,",")),
  IF(SUM(--ISNUMBER(SEARCH(_xlpm.words,_xlpm.target)))&gt;0,"O","X")
)</f>
        <v>X</v>
      </c>
      <c r="S31" t="str" cm="1">
        <f t="array" ref="S31">_xlfn.LET(
  _xlpm.target,IFERROR(_xlfn.TEXTBEFORE(_xlfn.TEXTAFTER($F31,"：「"),"」("),""),
  _xlpm.words,TRIM(_xlfn.TEXTSPLIT(S$3,",")),
  IF(SUM(--ISNUMBER(SEARCH(_xlpm.words,_xlpm.target)))&gt;0,"O","X")
)</f>
        <v>X</v>
      </c>
      <c r="T31" t="str" cm="1">
        <f t="array" ref="T31">_xlfn.LET(
  _xlpm.target,IFERROR(_xlfn.TEXTBEFORE(_xlfn.TEXTAFTER($F31,"：「"),"」("),""),
  _xlpm.words,TRIM(_xlfn.TEXTSPLIT(T$3,",")),
  IF(SUM(--ISNUMBER(SEARCH(_xlpm.words,_xlpm.target)))&gt;0,"O","X")
)</f>
        <v>X</v>
      </c>
      <c r="U31" t="str" cm="1">
        <f t="array" ref="U31">_xlfn.LET(
  _xlpm.target,IFERROR(_xlfn.TEXTBEFORE(_xlfn.TEXTAFTER($F31,"：「"),"」("),""),
  _xlpm.words,TRIM(_xlfn.TEXTSPLIT(U$3,",")),
  IF(SUM(--ISNUMBER(SEARCH(_xlpm.words,_xlpm.target)))&gt;0,"O","X")
)</f>
        <v>X</v>
      </c>
      <c r="V31" t="str" cm="1">
        <f t="array" ref="V31">_xlfn.LET(
  _xlpm.target,IFERROR(_xlfn.TEXTBEFORE(_xlfn.TEXTAFTER($F31,"：「"),"」("),""),
  _xlpm.words,TRIM(_xlfn.TEXTSPLIT(V$3,",")),
  IF(SUM(--ISNUMBER(SEARCH(_xlpm.words,_xlpm.target)))&gt;0,"O","X")
)</f>
        <v>X</v>
      </c>
      <c r="W31" t="str" cm="1">
        <f t="array" ref="W31">_xlfn.LET(
  _xlpm.target,IFERROR(_xlfn.TEXTBEFORE(_xlfn.TEXTAFTER($F31,"：「"),"」("),""),
  _xlpm.words,TRIM(_xlfn.TEXTSPLIT(W$3,",")),
  IF(SUM(--ISNUMBER(SEARCH(_xlpm.words,_xlpm.target)))&gt;0,"O","X")
)</f>
        <v>X</v>
      </c>
      <c r="X31" t="str" cm="1">
        <f t="array" ref="X31">_xlfn.LET(
  _xlpm.target,IFERROR(_xlfn.TEXTBEFORE(_xlfn.TEXTAFTER($F31,"：「"),"」("),""),
  _xlpm.words,TRIM(_xlfn.TEXTSPLIT(X$3,",")),
  IF(SUM(--ISNUMBER(SEARCH(_xlpm.words,_xlpm.target)))&gt;0,"O","X")
)</f>
        <v>X</v>
      </c>
    </row>
    <row r="32" spans="1:24">
      <c r="A32">
        <v>29</v>
      </c>
      <c r="B32" t="s">
        <v>80</v>
      </c>
      <c r="C32" t="s">
        <v>81</v>
      </c>
      <c r="D32" t="s">
        <v>82</v>
      </c>
      <c r="E32" t="s">
        <v>83</v>
      </c>
      <c r="F32" t="s">
        <v>218</v>
      </c>
      <c r="G32">
        <f>(LEN(F32)-LEN(SUBSTITUTE(F32,"帝網","")))/LEN("帝網")
 +(LEN(F32)-LEN(SUBSTITUTE(F32,"帝釋網","")))/LEN("帝釋網")
 +(LEN(F32)-LEN(SUBSTITUTE(F32,"因陀羅網","")))/LEN("因陀羅網")</f>
        <v>1</v>
      </c>
      <c r="H32" t="str">
        <f>_xlfn.TEXTBEFORE(_xlfn.TEXTAFTER(F32,"p. "),")")</f>
        <v>465c24-466a1</v>
      </c>
      <c r="I32">
        <f>LEN(_xlfn.TEXTBEFORE(_xlfn.TEXTAFTER(F32,"：「"),"」(CBETA"))</f>
        <v>25</v>
      </c>
      <c r="J32" t="s">
        <v>95</v>
      </c>
      <c r="K32" s="1"/>
      <c r="L32" s="1" t="s">
        <v>120</v>
      </c>
      <c r="M32" s="1" t="s">
        <v>136</v>
      </c>
      <c r="N32" s="1" t="s">
        <v>118</v>
      </c>
      <c r="O32" t="str" cm="1">
        <f t="array" ref="O32">_xlfn.LET(
  _xlpm.target,IFERROR(_xlfn.TEXTBEFORE(_xlfn.TEXTAFTER($F32,"：「"),"」("),""),
  _xlpm.words,TRIM(_xlfn.TEXTSPLIT(O$3,",")),
  IF(SUM(--ISNUMBER(SEARCH(_xlpm.words,_xlpm.target)))&gt;0,"O","X")
)</f>
        <v>X</v>
      </c>
      <c r="P32" t="str" cm="1">
        <f t="array" ref="P32">_xlfn.LET(
  _xlpm.target,IFERROR(_xlfn.TEXTBEFORE(_xlfn.TEXTAFTER($F32,"：「"),"」("),""),
  _xlpm.words,TRIM(_xlfn.TEXTSPLIT(P$3,",")),
  IF(SUM(--ISNUMBER(SEARCH(_xlpm.words,_xlpm.target)))&gt;0,"O","X")
)</f>
        <v>X</v>
      </c>
      <c r="Q32" t="str" cm="1">
        <f t="array" ref="Q32">_xlfn.LET(
  _xlpm.target,IFERROR(_xlfn.TEXTBEFORE(_xlfn.TEXTAFTER($F32,"：「"),"」("),""),
  _xlpm.words,TRIM(_xlfn.TEXTSPLIT(Q$3,",")),
  IF(SUM(--ISNUMBER(SEARCH(_xlpm.words,_xlpm.target)))&gt;0,"O","X")
)</f>
        <v>O</v>
      </c>
      <c r="R32" t="str" cm="1">
        <f t="array" ref="R32">_xlfn.LET(
  _xlpm.target,IFERROR(_xlfn.TEXTBEFORE(_xlfn.TEXTAFTER($F32,"：「"),"」("),""),
  _xlpm.words,TRIM(_xlfn.TEXTSPLIT(R$3,",")),
  IF(SUM(--ISNUMBER(SEARCH(_xlpm.words,_xlpm.target)))&gt;0,"O","X")
)</f>
        <v>X</v>
      </c>
      <c r="S32" t="str" cm="1">
        <f t="array" ref="S32">_xlfn.LET(
  _xlpm.target,IFERROR(_xlfn.TEXTBEFORE(_xlfn.TEXTAFTER($F32,"：「"),"」("),""),
  _xlpm.words,TRIM(_xlfn.TEXTSPLIT(S$3,",")),
  IF(SUM(--ISNUMBER(SEARCH(_xlpm.words,_xlpm.target)))&gt;0,"O","X")
)</f>
        <v>O</v>
      </c>
      <c r="T32" t="str" cm="1">
        <f t="array" ref="T32">_xlfn.LET(
  _xlpm.target,IFERROR(_xlfn.TEXTBEFORE(_xlfn.TEXTAFTER($F32,"：「"),"」("),""),
  _xlpm.words,TRIM(_xlfn.TEXTSPLIT(T$3,",")),
  IF(SUM(--ISNUMBER(SEARCH(_xlpm.words,_xlpm.target)))&gt;0,"O","X")
)</f>
        <v>O</v>
      </c>
      <c r="U32" t="str" cm="1">
        <f t="array" ref="U32">_xlfn.LET(
  _xlpm.target,IFERROR(_xlfn.TEXTBEFORE(_xlfn.TEXTAFTER($F32,"：「"),"」("),""),
  _xlpm.words,TRIM(_xlfn.TEXTSPLIT(U$3,",")),
  IF(SUM(--ISNUMBER(SEARCH(_xlpm.words,_xlpm.target)))&gt;0,"O","X")
)</f>
        <v>X</v>
      </c>
      <c r="V32" t="str" cm="1">
        <f t="array" ref="V32">_xlfn.LET(
  _xlpm.target,IFERROR(_xlfn.TEXTBEFORE(_xlfn.TEXTAFTER($F32,"：「"),"」("),""),
  _xlpm.words,TRIM(_xlfn.TEXTSPLIT(V$3,",")),
  IF(SUM(--ISNUMBER(SEARCH(_xlpm.words,_xlpm.target)))&gt;0,"O","X")
)</f>
        <v>X</v>
      </c>
      <c r="W32" t="str" cm="1">
        <f t="array" ref="W32">_xlfn.LET(
  _xlpm.target,IFERROR(_xlfn.TEXTBEFORE(_xlfn.TEXTAFTER($F32,"：「"),"」("),""),
  _xlpm.words,TRIM(_xlfn.TEXTSPLIT(W$3,",")),
  IF(SUM(--ISNUMBER(SEARCH(_xlpm.words,_xlpm.target)))&gt;0,"O","X")
)</f>
        <v>X</v>
      </c>
      <c r="X32" t="str" cm="1">
        <f t="array" ref="X32">_xlfn.LET(
  _xlpm.target,IFERROR(_xlfn.TEXTBEFORE(_xlfn.TEXTAFTER($F32,"：「"),"」("),""),
  _xlpm.words,TRIM(_xlfn.TEXTSPLIT(X$3,",")),
  IF(SUM(--ISNUMBER(SEARCH(_xlpm.words,_xlpm.target)))&gt;0,"O","X")
)</f>
        <v>X</v>
      </c>
    </row>
    <row r="33" spans="1:24" ht="18">
      <c r="A33">
        <v>30</v>
      </c>
      <c r="B33" t="s">
        <v>80</v>
      </c>
      <c r="C33" t="s">
        <v>81</v>
      </c>
      <c r="D33" t="s">
        <v>82</v>
      </c>
      <c r="E33" t="s">
        <v>83</v>
      </c>
      <c r="F33" t="s">
        <v>229</v>
      </c>
      <c r="G33">
        <f>(LEN(F33)-LEN(SUBSTITUTE(F33,"帝網","")))/LEN("帝網")
 +(LEN(F33)-LEN(SUBSTITUTE(F33,"帝釋網","")))/LEN("帝釋網")
 +(LEN(F33)-LEN(SUBSTITUTE(F33,"因陀羅網","")))/LEN("因陀羅網")</f>
        <v>1</v>
      </c>
      <c r="H33" t="str">
        <f>_xlfn.TEXTBEFORE(_xlfn.TEXTAFTER(F33,"p. "),")")</f>
        <v>466c3-11</v>
      </c>
      <c r="I33">
        <f>LEN(_xlfn.TEXTBEFORE(_xlfn.TEXTAFTER(F33,"：「"),"」(CBETA"))</f>
        <v>182</v>
      </c>
      <c r="J33" t="s">
        <v>95</v>
      </c>
      <c r="K33" s="1"/>
      <c r="L33" s="1" t="s">
        <v>120</v>
      </c>
      <c r="M33" s="1" t="s">
        <v>136</v>
      </c>
      <c r="N33" s="1" t="s">
        <v>118</v>
      </c>
      <c r="O33" t="str" cm="1">
        <f t="array" ref="O33">_xlfn.LET(
  _xlpm.target,IFERROR(_xlfn.TEXTBEFORE(_xlfn.TEXTAFTER($F33,"：「"),"」("),""),
  _xlpm.words,TRIM(_xlfn.TEXTSPLIT(O$3,",")),
  IF(SUM(--ISNUMBER(SEARCH(_xlpm.words,_xlpm.target)))&gt;0,"O","X")
)</f>
        <v>X</v>
      </c>
      <c r="P33" t="str" cm="1">
        <f t="array" ref="P33">_xlfn.LET(
  _xlpm.target,IFERROR(_xlfn.TEXTBEFORE(_xlfn.TEXTAFTER($F33,"：「"),"」("),""),
  _xlpm.words,TRIM(_xlfn.TEXTSPLIT(P$3,",")),
  IF(SUM(--ISNUMBER(SEARCH(_xlpm.words,_xlpm.target)))&gt;0,"O","X")
)</f>
        <v>X</v>
      </c>
      <c r="Q33" t="str" cm="1">
        <f t="array" ref="Q33">_xlfn.LET(
  _xlpm.target,IFERROR(_xlfn.TEXTBEFORE(_xlfn.TEXTAFTER($F33,"：「"),"」("),""),
  _xlpm.words,TRIM(_xlfn.TEXTSPLIT(Q$3,",")),
  IF(SUM(--ISNUMBER(SEARCH(_xlpm.words,_xlpm.target)))&gt;0,"O","X")
)</f>
        <v>O</v>
      </c>
      <c r="R33" t="str" cm="1">
        <f t="array" ref="R33">_xlfn.LET(
  _xlpm.target,IFERROR(_xlfn.TEXTBEFORE(_xlfn.TEXTAFTER($F33,"：「"),"」("),""),
  _xlpm.words,TRIM(_xlfn.TEXTSPLIT(R$3,",")),
  IF(SUM(--ISNUMBER(SEARCH(_xlpm.words,_xlpm.target)))&gt;0,"O","X")
)</f>
        <v>X</v>
      </c>
      <c r="S33" t="str" cm="1">
        <f t="array" ref="S33">_xlfn.LET(
  _xlpm.target,IFERROR(_xlfn.TEXTBEFORE(_xlfn.TEXTAFTER($F33,"：「"),"」("),""),
  _xlpm.words,TRIM(_xlfn.TEXTSPLIT(S$3,",")),
  IF(SUM(--ISNUMBER(SEARCH(_xlpm.words,_xlpm.target)))&gt;0,"O","X")
)</f>
        <v>O</v>
      </c>
      <c r="T33" t="str" cm="1">
        <f t="array" ref="T33">_xlfn.LET(
  _xlpm.target,IFERROR(_xlfn.TEXTBEFORE(_xlfn.TEXTAFTER($F33,"：「"),"」("),""),
  _xlpm.words,TRIM(_xlfn.TEXTSPLIT(T$3,",")),
  IF(SUM(--ISNUMBER(SEARCH(_xlpm.words,_xlpm.target)))&gt;0,"O","X")
)</f>
        <v>O</v>
      </c>
      <c r="U33" t="str" cm="1">
        <f t="array" ref="U33">_xlfn.LET(
  _xlpm.target,IFERROR(_xlfn.TEXTBEFORE(_xlfn.TEXTAFTER($F33,"：「"),"」("),""),
  _xlpm.words,TRIM(_xlfn.TEXTSPLIT(U$3,",")),
  IF(SUM(--ISNUMBER(SEARCH(_xlpm.words,_xlpm.target)))&gt;0,"O","X")
)</f>
        <v>O</v>
      </c>
      <c r="V33" t="str" cm="1">
        <f t="array" ref="V33">_xlfn.LET(
  _xlpm.target,IFERROR(_xlfn.TEXTBEFORE(_xlfn.TEXTAFTER($F33,"：「"),"」("),""),
  _xlpm.words,TRIM(_xlfn.TEXTSPLIT(V$3,",")),
  IF(SUM(--ISNUMBER(SEARCH(_xlpm.words,_xlpm.target)))&gt;0,"O","X")
)</f>
        <v>X</v>
      </c>
      <c r="W33" t="str" cm="1">
        <f t="array" ref="W33">_xlfn.LET(
  _xlpm.target,IFERROR(_xlfn.TEXTBEFORE(_xlfn.TEXTAFTER($F33,"：「"),"」("),""),
  _xlpm.words,TRIM(_xlfn.TEXTSPLIT(W$3,",")),
  IF(SUM(--ISNUMBER(SEARCH(_xlpm.words,_xlpm.target)))&gt;0,"O","X")
)</f>
        <v>O</v>
      </c>
      <c r="X33" t="str" cm="1">
        <f t="array" ref="X33">_xlfn.LET(
  _xlpm.target,IFERROR(_xlfn.TEXTBEFORE(_xlfn.TEXTAFTER($F33,"：「"),"」("),""),
  _xlpm.words,TRIM(_xlfn.TEXTSPLIT(X$3,",")),
  IF(SUM(--ISNUMBER(SEARCH(_xlpm.words,_xlpm.target)))&gt;0,"O","X")
)</f>
        <v>O</v>
      </c>
    </row>
    <row r="34" spans="1:24">
      <c r="A34">
        <v>31</v>
      </c>
      <c r="B34" t="s">
        <v>80</v>
      </c>
      <c r="C34" t="s">
        <v>81</v>
      </c>
      <c r="D34" t="s">
        <v>82</v>
      </c>
      <c r="E34" t="s">
        <v>83</v>
      </c>
      <c r="F34" t="s">
        <v>84</v>
      </c>
      <c r="G34">
        <f>(LEN(F34)-LEN(SUBSTITUTE(F34,"帝網","")))/LEN("帝網")
 +(LEN(F34)-LEN(SUBSTITUTE(F34,"帝釋網","")))/LEN("帝釋網")
 +(LEN(F34)-LEN(SUBSTITUTE(F34,"因陀羅網","")))/LEN("因陀羅網")</f>
        <v>1</v>
      </c>
      <c r="H34" t="str">
        <f>_xlfn.TEXTBEFORE(_xlfn.TEXTAFTER(F34,"p. "),")")</f>
        <v>466c19-467a1</v>
      </c>
      <c r="I34">
        <f>LEN(_xlfn.TEXTBEFORE(_xlfn.TEXTAFTER(F34,"：「"),"」(CBETA"))</f>
        <v>152</v>
      </c>
      <c r="J34" t="s">
        <v>94</v>
      </c>
      <c r="K34" s="1"/>
      <c r="L34" s="1" t="s">
        <v>120</v>
      </c>
      <c r="M34" s="1" t="s">
        <v>136</v>
      </c>
      <c r="N34" s="1" t="s">
        <v>118</v>
      </c>
      <c r="O34" t="str" cm="1">
        <f t="array" ref="O34">_xlfn.LET(
  _xlpm.target,IFERROR(_xlfn.TEXTBEFORE(_xlfn.TEXTAFTER($F34,"：「"),"」("),""),
  _xlpm.words,TRIM(_xlfn.TEXTSPLIT(O$3,",")),
  IF(SUM(--ISNUMBER(SEARCH(_xlpm.words,_xlpm.target)))&gt;0,"O","X")
)</f>
        <v>X</v>
      </c>
      <c r="P34" t="str" cm="1">
        <f t="array" ref="P34">_xlfn.LET(
  _xlpm.target,IFERROR(_xlfn.TEXTBEFORE(_xlfn.TEXTAFTER($F34,"：「"),"」("),""),
  _xlpm.words,TRIM(_xlfn.TEXTSPLIT(P$3,",")),
  IF(SUM(--ISNUMBER(SEARCH(_xlpm.words,_xlpm.target)))&gt;0,"O","X")
)</f>
        <v>X</v>
      </c>
      <c r="Q34" t="str" cm="1">
        <f t="array" ref="Q34">_xlfn.LET(
  _xlpm.target,IFERROR(_xlfn.TEXTBEFORE(_xlfn.TEXTAFTER($F34,"：「"),"」("),""),
  _xlpm.words,TRIM(_xlfn.TEXTSPLIT(Q$3,",")),
  IF(SUM(--ISNUMBER(SEARCH(_xlpm.words,_xlpm.target)))&gt;0,"O","X")
)</f>
        <v>O</v>
      </c>
      <c r="R34" t="str" cm="1">
        <f t="array" ref="R34">_xlfn.LET(
  _xlpm.target,IFERROR(_xlfn.TEXTBEFORE(_xlfn.TEXTAFTER($F34,"：「"),"」("),""),
  _xlpm.words,TRIM(_xlfn.TEXTSPLIT(R$3,",")),
  IF(SUM(--ISNUMBER(SEARCH(_xlpm.words,_xlpm.target)))&gt;0,"O","X")
)</f>
        <v>X</v>
      </c>
      <c r="S34" t="str" cm="1">
        <f t="array" ref="S34">_xlfn.LET(
  _xlpm.target,IFERROR(_xlfn.TEXTBEFORE(_xlfn.TEXTAFTER($F34,"：「"),"」("),""),
  _xlpm.words,TRIM(_xlfn.TEXTSPLIT(S$3,",")),
  IF(SUM(--ISNUMBER(SEARCH(_xlpm.words,_xlpm.target)))&gt;0,"O","X")
)</f>
        <v>O</v>
      </c>
      <c r="T34" t="str" cm="1">
        <f t="array" ref="T34">_xlfn.LET(
  _xlpm.target,IFERROR(_xlfn.TEXTBEFORE(_xlfn.TEXTAFTER($F34,"：「"),"」("),""),
  _xlpm.words,TRIM(_xlfn.TEXTSPLIT(T$3,",")),
  IF(SUM(--ISNUMBER(SEARCH(_xlpm.words,_xlpm.target)))&gt;0,"O","X")
)</f>
        <v>O</v>
      </c>
      <c r="U34" t="str" cm="1">
        <f t="array" ref="U34">_xlfn.LET(
  _xlpm.target,IFERROR(_xlfn.TEXTBEFORE(_xlfn.TEXTAFTER($F34,"：「"),"」("),""),
  _xlpm.words,TRIM(_xlfn.TEXTSPLIT(U$3,",")),
  IF(SUM(--ISNUMBER(SEARCH(_xlpm.words,_xlpm.target)))&gt;0,"O","X")
)</f>
        <v>O</v>
      </c>
      <c r="V34" t="str" cm="1">
        <f t="array" ref="V34">_xlfn.LET(
  _xlpm.target,IFERROR(_xlfn.TEXTBEFORE(_xlfn.TEXTAFTER($F34,"：「"),"」("),""),
  _xlpm.words,TRIM(_xlfn.TEXTSPLIT(V$3,",")),
  IF(SUM(--ISNUMBER(SEARCH(_xlpm.words,_xlpm.target)))&gt;0,"O","X")
)</f>
        <v>O</v>
      </c>
      <c r="W34" t="str" cm="1">
        <f t="array" ref="W34">_xlfn.LET(
  _xlpm.target,IFERROR(_xlfn.TEXTBEFORE(_xlfn.TEXTAFTER($F34,"：「"),"」("),""),
  _xlpm.words,TRIM(_xlfn.TEXTSPLIT(W$3,",")),
  IF(SUM(--ISNUMBER(SEARCH(_xlpm.words,_xlpm.target)))&gt;0,"O","X")
)</f>
        <v>O</v>
      </c>
      <c r="X34" t="str" cm="1">
        <f t="array" ref="X34">_xlfn.LET(
  _xlpm.target,IFERROR(_xlfn.TEXTBEFORE(_xlfn.TEXTAFTER($F34,"：「"),"」("),""),
  _xlpm.words,TRIM(_xlfn.TEXTSPLIT(X$3,",")),
  IF(SUM(--ISNUMBER(SEARCH(_xlpm.words,_xlpm.target)))&gt;0,"O","X")
)</f>
        <v>O</v>
      </c>
    </row>
    <row r="35" spans="1:24">
      <c r="A35">
        <v>32</v>
      </c>
      <c r="B35" t="s">
        <v>80</v>
      </c>
      <c r="C35" t="s">
        <v>81</v>
      </c>
      <c r="D35" t="s">
        <v>82</v>
      </c>
      <c r="E35" t="s">
        <v>83</v>
      </c>
      <c r="F35" t="s">
        <v>96</v>
      </c>
      <c r="G35">
        <f>(LEN(F35)-LEN(SUBSTITUTE(F35,"帝網","")))/LEN("帝網")
 +(LEN(F35)-LEN(SUBSTITUTE(F35,"帝釋網","")))/LEN("帝釋網")
 +(LEN(F35)-LEN(SUBSTITUTE(F35,"因陀羅網","")))/LEN("因陀羅網")</f>
        <v>1</v>
      </c>
      <c r="H35" t="str">
        <f>_xlfn.TEXTBEFORE(_xlfn.TEXTAFTER(F35,"p. "),")")</f>
        <v>468a1-2</v>
      </c>
      <c r="I35">
        <f>LEN(_xlfn.TEXTBEFORE(_xlfn.TEXTAFTER(F35,"：「"),"」(CBETA"))</f>
        <v>39</v>
      </c>
      <c r="J35" t="s">
        <v>95</v>
      </c>
      <c r="K35" s="1"/>
      <c r="L35" s="1" t="s">
        <v>120</v>
      </c>
      <c r="M35" s="1" t="s">
        <v>136</v>
      </c>
      <c r="N35" s="1" t="s">
        <v>118</v>
      </c>
      <c r="O35" t="str" cm="1">
        <f t="array" ref="O35">_xlfn.LET(
  _xlpm.target,IFERROR(_xlfn.TEXTBEFORE(_xlfn.TEXTAFTER($F35,"：「"),"」("),""),
  _xlpm.words,TRIM(_xlfn.TEXTSPLIT(O$3,",")),
  IF(SUM(--ISNUMBER(SEARCH(_xlpm.words,_xlpm.target)))&gt;0,"O","X")
)</f>
        <v>X</v>
      </c>
      <c r="P35" t="str" cm="1">
        <f t="array" ref="P35">_xlfn.LET(
  _xlpm.target,IFERROR(_xlfn.TEXTBEFORE(_xlfn.TEXTAFTER($F35,"：「"),"」("),""),
  _xlpm.words,TRIM(_xlfn.TEXTSPLIT(P$3,",")),
  IF(SUM(--ISNUMBER(SEARCH(_xlpm.words,_xlpm.target)))&gt;0,"O","X")
)</f>
        <v>X</v>
      </c>
      <c r="Q35" t="str" cm="1">
        <f t="array" ref="Q35">_xlfn.LET(
  _xlpm.target,IFERROR(_xlfn.TEXTBEFORE(_xlfn.TEXTAFTER($F35,"：「"),"」("),""),
  _xlpm.words,TRIM(_xlfn.TEXTSPLIT(Q$3,",")),
  IF(SUM(--ISNUMBER(SEARCH(_xlpm.words,_xlpm.target)))&gt;0,"O","X")
)</f>
        <v>X</v>
      </c>
      <c r="R35" t="str" cm="1">
        <f t="array" ref="R35">_xlfn.LET(
  _xlpm.target,IFERROR(_xlfn.TEXTBEFORE(_xlfn.TEXTAFTER($F35,"：「"),"」("),""),
  _xlpm.words,TRIM(_xlfn.TEXTSPLIT(R$3,",")),
  IF(SUM(--ISNUMBER(SEARCH(_xlpm.words,_xlpm.target)))&gt;0,"O","X")
)</f>
        <v>X</v>
      </c>
      <c r="S35" t="str" cm="1">
        <f t="array" ref="S35">_xlfn.LET(
  _xlpm.target,IFERROR(_xlfn.TEXTBEFORE(_xlfn.TEXTAFTER($F35,"：「"),"」("),""),
  _xlpm.words,TRIM(_xlfn.TEXTSPLIT(S$3,",")),
  IF(SUM(--ISNUMBER(SEARCH(_xlpm.words,_xlpm.target)))&gt;0,"O","X")
)</f>
        <v>O</v>
      </c>
      <c r="T35" t="str" cm="1">
        <f t="array" ref="T35">_xlfn.LET(
  _xlpm.target,IFERROR(_xlfn.TEXTBEFORE(_xlfn.TEXTAFTER($F35,"：「"),"」("),""),
  _xlpm.words,TRIM(_xlfn.TEXTSPLIT(T$3,",")),
  IF(SUM(--ISNUMBER(SEARCH(_xlpm.words,_xlpm.target)))&gt;0,"O","X")
)</f>
        <v>O</v>
      </c>
      <c r="U35" t="str" cm="1">
        <f t="array" ref="U35">_xlfn.LET(
  _xlpm.target,IFERROR(_xlfn.TEXTBEFORE(_xlfn.TEXTAFTER($F35,"：「"),"」("),""),
  _xlpm.words,TRIM(_xlfn.TEXTSPLIT(U$3,",")),
  IF(SUM(--ISNUMBER(SEARCH(_xlpm.words,_xlpm.target)))&gt;0,"O","X")
)</f>
        <v>O</v>
      </c>
      <c r="V35" t="str" cm="1">
        <f t="array" ref="V35">_xlfn.LET(
  _xlpm.target,IFERROR(_xlfn.TEXTBEFORE(_xlfn.TEXTAFTER($F35,"：「"),"」("),""),
  _xlpm.words,TRIM(_xlfn.TEXTSPLIT(V$3,",")),
  IF(SUM(--ISNUMBER(SEARCH(_xlpm.words,_xlpm.target)))&gt;0,"O","X")
)</f>
        <v>X</v>
      </c>
      <c r="W35" t="str" cm="1">
        <f t="array" ref="W35">_xlfn.LET(
  _xlpm.target,IFERROR(_xlfn.TEXTBEFORE(_xlfn.TEXTAFTER($F35,"：「"),"」("),""),
  _xlpm.words,TRIM(_xlfn.TEXTSPLIT(W$3,",")),
  IF(SUM(--ISNUMBER(SEARCH(_xlpm.words,_xlpm.target)))&gt;0,"O","X")
)</f>
        <v>X</v>
      </c>
      <c r="X35" t="str" cm="1">
        <f t="array" ref="X35">_xlfn.LET(
  _xlpm.target,IFERROR(_xlfn.TEXTBEFORE(_xlfn.TEXTAFTER($F35,"：「"),"」("),""),
  _xlpm.words,TRIM(_xlfn.TEXTSPLIT(X$3,",")),
  IF(SUM(--ISNUMBER(SEARCH(_xlpm.words,_xlpm.target)))&gt;0,"O","X")
)</f>
        <v>X</v>
      </c>
    </row>
    <row r="36" spans="1:24">
      <c r="A36">
        <v>33</v>
      </c>
      <c r="B36" t="s">
        <v>80</v>
      </c>
      <c r="C36" t="s">
        <v>81</v>
      </c>
      <c r="D36" t="s">
        <v>82</v>
      </c>
      <c r="E36" t="s">
        <v>83</v>
      </c>
      <c r="F36" t="s">
        <v>85</v>
      </c>
      <c r="G36">
        <f>(LEN(F36)-LEN(SUBSTITUTE(F36,"帝網","")))/LEN("帝網")
 +(LEN(F36)-LEN(SUBSTITUTE(F36,"帝釋網","")))/LEN("帝釋網")
 +(LEN(F36)-LEN(SUBSTITUTE(F36,"因陀羅網","")))/LEN("因陀羅網")</f>
        <v>1</v>
      </c>
      <c r="H36" t="str">
        <f>_xlfn.TEXTBEFORE(_xlfn.TEXTAFTER(F36,"p. "),")")</f>
        <v>490b15-17</v>
      </c>
      <c r="I36">
        <f>LEN(_xlfn.TEXTBEFORE(_xlfn.TEXTAFTER(F36,"：「"),"」(CBETA"))</f>
        <v>41</v>
      </c>
      <c r="J36" t="s">
        <v>95</v>
      </c>
      <c r="K36" s="1"/>
      <c r="L36" s="1" t="s">
        <v>120</v>
      </c>
      <c r="M36" s="1" t="s">
        <v>136</v>
      </c>
      <c r="N36" s="1" t="s">
        <v>118</v>
      </c>
      <c r="O36" t="str" cm="1">
        <f t="array" ref="O36">_xlfn.LET(
  _xlpm.target,IFERROR(_xlfn.TEXTBEFORE(_xlfn.TEXTAFTER($F36,"：「"),"」("),""),
  _xlpm.words,TRIM(_xlfn.TEXTSPLIT(O$3,",")),
  IF(SUM(--ISNUMBER(SEARCH(_xlpm.words,_xlpm.target)))&gt;0,"O","X")
)</f>
        <v>X</v>
      </c>
      <c r="P36" t="str" cm="1">
        <f t="array" ref="P36">_xlfn.LET(
  _xlpm.target,IFERROR(_xlfn.TEXTBEFORE(_xlfn.TEXTAFTER($F36,"：「"),"」("),""),
  _xlpm.words,TRIM(_xlfn.TEXTSPLIT(P$3,",")),
  IF(SUM(--ISNUMBER(SEARCH(_xlpm.words,_xlpm.target)))&gt;0,"O","X")
)</f>
        <v>O</v>
      </c>
      <c r="Q36" t="str" cm="1">
        <f t="array" ref="Q36">_xlfn.LET(
  _xlpm.target,IFERROR(_xlfn.TEXTBEFORE(_xlfn.TEXTAFTER($F36,"：「"),"」("),""),
  _xlpm.words,TRIM(_xlfn.TEXTSPLIT(Q$3,",")),
  IF(SUM(--ISNUMBER(SEARCH(_xlpm.words,_xlpm.target)))&gt;0,"O","X")
)</f>
        <v>X</v>
      </c>
      <c r="R36" t="str" cm="1">
        <f t="array" ref="R36">_xlfn.LET(
  _xlpm.target,IFERROR(_xlfn.TEXTBEFORE(_xlfn.TEXTAFTER($F36,"：「"),"」("),""),
  _xlpm.words,TRIM(_xlfn.TEXTSPLIT(R$3,",")),
  IF(SUM(--ISNUMBER(SEARCH(_xlpm.words,_xlpm.target)))&gt;0,"O","X")
)</f>
        <v>X</v>
      </c>
      <c r="S36" t="str" cm="1">
        <f t="array" ref="S36">_xlfn.LET(
  _xlpm.target,IFERROR(_xlfn.TEXTBEFORE(_xlfn.TEXTAFTER($F36,"：「"),"」("),""),
  _xlpm.words,TRIM(_xlfn.TEXTSPLIT(S$3,",")),
  IF(SUM(--ISNUMBER(SEARCH(_xlpm.words,_xlpm.target)))&gt;0,"O","X")
)</f>
        <v>X</v>
      </c>
      <c r="T36" t="str" cm="1">
        <f t="array" ref="T36">_xlfn.LET(
  _xlpm.target,IFERROR(_xlfn.TEXTBEFORE(_xlfn.TEXTAFTER($F36,"：「"),"」("),""),
  _xlpm.words,TRIM(_xlfn.TEXTSPLIT(T$3,",")),
  IF(SUM(--ISNUMBER(SEARCH(_xlpm.words,_xlpm.target)))&gt;0,"O","X")
)</f>
        <v>X</v>
      </c>
      <c r="U36" t="str" cm="1">
        <f t="array" ref="U36">_xlfn.LET(
  _xlpm.target,IFERROR(_xlfn.TEXTBEFORE(_xlfn.TEXTAFTER($F36,"：「"),"」("),""),
  _xlpm.words,TRIM(_xlfn.TEXTSPLIT(U$3,",")),
  IF(SUM(--ISNUMBER(SEARCH(_xlpm.words,_xlpm.target)))&gt;0,"O","X")
)</f>
        <v>X</v>
      </c>
      <c r="V36" t="str" cm="1">
        <f t="array" ref="V36">_xlfn.LET(
  _xlpm.target,IFERROR(_xlfn.TEXTBEFORE(_xlfn.TEXTAFTER($F36,"：「"),"」("),""),
  _xlpm.words,TRIM(_xlfn.TEXTSPLIT(V$3,",")),
  IF(SUM(--ISNUMBER(SEARCH(_xlpm.words,_xlpm.target)))&gt;0,"O","X")
)</f>
        <v>X</v>
      </c>
      <c r="W36" t="str" cm="1">
        <f t="array" ref="W36">_xlfn.LET(
  _xlpm.target,IFERROR(_xlfn.TEXTBEFORE(_xlfn.TEXTAFTER($F36,"：「"),"」("),""),
  _xlpm.words,TRIM(_xlfn.TEXTSPLIT(W$3,",")),
  IF(SUM(--ISNUMBER(SEARCH(_xlpm.words,_xlpm.target)))&gt;0,"O","X")
)</f>
        <v>X</v>
      </c>
      <c r="X36" t="str" cm="1">
        <f t="array" ref="X36">_xlfn.LET(
  _xlpm.target,IFERROR(_xlfn.TEXTBEFORE(_xlfn.TEXTAFTER($F36,"：「"),"」("),""),
  _xlpm.words,TRIM(_xlfn.TEXTSPLIT(X$3,",")),
  IF(SUM(--ISNUMBER(SEARCH(_xlpm.words,_xlpm.target)))&gt;0,"O","X")
)</f>
        <v>X</v>
      </c>
    </row>
    <row r="37" spans="1:24">
      <c r="A37">
        <v>34</v>
      </c>
      <c r="B37" t="s">
        <v>80</v>
      </c>
      <c r="C37" t="s">
        <v>81</v>
      </c>
      <c r="D37" t="s">
        <v>82</v>
      </c>
      <c r="E37" t="s">
        <v>83</v>
      </c>
      <c r="F37" t="s">
        <v>86</v>
      </c>
      <c r="G37">
        <f>(LEN(F37)-LEN(SUBSTITUTE(F37,"帝網","")))/LEN("帝網")
 +(LEN(F37)-LEN(SUBSTITUTE(F37,"帝釋網","")))/LEN("帝釋網")
 +(LEN(F37)-LEN(SUBSTITUTE(F37,"因陀羅網","")))/LEN("因陀羅網")</f>
        <v>1</v>
      </c>
      <c r="H37" t="str">
        <f>_xlfn.TEXTBEFORE(_xlfn.TEXTAFTER(F37,"p. "),")")</f>
        <v>515a24-b2</v>
      </c>
      <c r="I37">
        <f>LEN(_xlfn.TEXTBEFORE(_xlfn.TEXTAFTER(F37,"：「"),"」(CBETA"))</f>
        <v>41</v>
      </c>
      <c r="J37" t="s">
        <v>95</v>
      </c>
      <c r="K37" s="1"/>
      <c r="L37" s="1" t="s">
        <v>120</v>
      </c>
      <c r="M37" s="1" t="s">
        <v>136</v>
      </c>
      <c r="N37" s="1" t="s">
        <v>118</v>
      </c>
      <c r="O37" t="str" cm="1">
        <f t="array" ref="O37">_xlfn.LET(
  _xlpm.target,IFERROR(_xlfn.TEXTBEFORE(_xlfn.TEXTAFTER($F37,"：「"),"」("),""),
  _xlpm.words,TRIM(_xlfn.TEXTSPLIT(O$3,",")),
  IF(SUM(--ISNUMBER(SEARCH(_xlpm.words,_xlpm.target)))&gt;0,"O","X")
)</f>
        <v>X</v>
      </c>
      <c r="P37" t="str" cm="1">
        <f t="array" ref="P37">_xlfn.LET(
  _xlpm.target,IFERROR(_xlfn.TEXTBEFORE(_xlfn.TEXTAFTER($F37,"：「"),"」("),""),
  _xlpm.words,TRIM(_xlfn.TEXTSPLIT(P$3,",")),
  IF(SUM(--ISNUMBER(SEARCH(_xlpm.words,_xlpm.target)))&gt;0,"O","X")
)</f>
        <v>X</v>
      </c>
      <c r="Q37" t="str" cm="1">
        <f t="array" ref="Q37">_xlfn.LET(
  _xlpm.target,IFERROR(_xlfn.TEXTBEFORE(_xlfn.TEXTAFTER($F37,"：「"),"」("),""),
  _xlpm.words,TRIM(_xlfn.TEXTSPLIT(Q$3,",")),
  IF(SUM(--ISNUMBER(SEARCH(_xlpm.words,_xlpm.target)))&gt;0,"O","X")
)</f>
        <v>O</v>
      </c>
      <c r="R37" t="str" cm="1">
        <f t="array" ref="R37">_xlfn.LET(
  _xlpm.target,IFERROR(_xlfn.TEXTBEFORE(_xlfn.TEXTAFTER($F37,"：「"),"」("),""),
  _xlpm.words,TRIM(_xlfn.TEXTSPLIT(R$3,",")),
  IF(SUM(--ISNUMBER(SEARCH(_xlpm.words,_xlpm.target)))&gt;0,"O","X")
)</f>
        <v>X</v>
      </c>
      <c r="S37" t="str" cm="1">
        <f t="array" ref="S37">_xlfn.LET(
  _xlpm.target,IFERROR(_xlfn.TEXTBEFORE(_xlfn.TEXTAFTER($F37,"：「"),"」("),""),
  _xlpm.words,TRIM(_xlfn.TEXTSPLIT(S$3,",")),
  IF(SUM(--ISNUMBER(SEARCH(_xlpm.words,_xlpm.target)))&gt;0,"O","X")
)</f>
        <v>X</v>
      </c>
      <c r="T37" t="str" cm="1">
        <f t="array" ref="T37">_xlfn.LET(
  _xlpm.target,IFERROR(_xlfn.TEXTBEFORE(_xlfn.TEXTAFTER($F37,"：「"),"」("),""),
  _xlpm.words,TRIM(_xlfn.TEXTSPLIT(T$3,",")),
  IF(SUM(--ISNUMBER(SEARCH(_xlpm.words,_xlpm.target)))&gt;0,"O","X")
)</f>
        <v>X</v>
      </c>
      <c r="U37" t="str" cm="1">
        <f t="array" ref="U37">_xlfn.LET(
  _xlpm.target,IFERROR(_xlfn.TEXTBEFORE(_xlfn.TEXTAFTER($F37,"：「"),"」("),""),
  _xlpm.words,TRIM(_xlfn.TEXTSPLIT(U$3,",")),
  IF(SUM(--ISNUMBER(SEARCH(_xlpm.words,_xlpm.target)))&gt;0,"O","X")
)</f>
        <v>X</v>
      </c>
      <c r="V37" t="str" cm="1">
        <f t="array" ref="V37">_xlfn.LET(
  _xlpm.target,IFERROR(_xlfn.TEXTBEFORE(_xlfn.TEXTAFTER($F37,"：「"),"」("),""),
  _xlpm.words,TRIM(_xlfn.TEXTSPLIT(V$3,",")),
  IF(SUM(--ISNUMBER(SEARCH(_xlpm.words,_xlpm.target)))&gt;0,"O","X")
)</f>
        <v>X</v>
      </c>
      <c r="W37" t="str" cm="1">
        <f t="array" ref="W37">_xlfn.LET(
  _xlpm.target,IFERROR(_xlfn.TEXTBEFORE(_xlfn.TEXTAFTER($F37,"：「"),"」("),""),
  _xlpm.words,TRIM(_xlfn.TEXTSPLIT(W$3,",")),
  IF(SUM(--ISNUMBER(SEARCH(_xlpm.words,_xlpm.target)))&gt;0,"O","X")
)</f>
        <v>O</v>
      </c>
      <c r="X37" t="str" cm="1">
        <f t="array" ref="X37">_xlfn.LET(
  _xlpm.target,IFERROR(_xlfn.TEXTBEFORE(_xlfn.TEXTAFTER($F37,"：「"),"」("),""),
  _xlpm.words,TRIM(_xlfn.TEXTSPLIT(X$3,",")),
  IF(SUM(--ISNUMBER(SEARCH(_xlpm.words,_xlpm.target)))&gt;0,"O","X")
)</f>
        <v>X</v>
      </c>
    </row>
    <row r="38" spans="1:24" ht="18">
      <c r="A38">
        <v>35</v>
      </c>
      <c r="B38" t="s">
        <v>80</v>
      </c>
      <c r="C38" t="s">
        <v>81</v>
      </c>
      <c r="D38" t="s">
        <v>82</v>
      </c>
      <c r="E38" t="s">
        <v>83</v>
      </c>
      <c r="F38" t="s">
        <v>219</v>
      </c>
      <c r="G38">
        <f>(LEN(F38)-LEN(SUBSTITUTE(F38,"帝網","")))/LEN("帝網")
 +(LEN(F38)-LEN(SUBSTITUTE(F38,"帝釋網","")))/LEN("帝釋網")
 +(LEN(F38)-LEN(SUBSTITUTE(F38,"因陀羅網","")))/LEN("因陀羅網")</f>
        <v>1</v>
      </c>
      <c r="H38" t="str">
        <f>_xlfn.TEXTBEFORE(_xlfn.TEXTAFTER(F38,"p. "),")")</f>
        <v>507a7-11</v>
      </c>
      <c r="I38">
        <f>LEN(_xlfn.TEXTBEFORE(_xlfn.TEXTAFTER(F38,"：「"),"」(CBETA"))</f>
        <v>77</v>
      </c>
      <c r="J38" t="s">
        <v>95</v>
      </c>
      <c r="K38" s="1"/>
      <c r="L38" s="1" t="s">
        <v>120</v>
      </c>
      <c r="M38" s="1" t="s">
        <v>136</v>
      </c>
      <c r="N38" s="1" t="s">
        <v>118</v>
      </c>
      <c r="O38" t="str" cm="1">
        <f t="array" ref="O38">_xlfn.LET(
  _xlpm.target,IFERROR(_xlfn.TEXTBEFORE(_xlfn.TEXTAFTER($F38,"：「"),"」("),""),
  _xlpm.words,TRIM(_xlfn.TEXTSPLIT(O$3,",")),
  IF(SUM(--ISNUMBER(SEARCH(_xlpm.words,_xlpm.target)))&gt;0,"O","X")
)</f>
        <v>X</v>
      </c>
      <c r="P38" t="str" cm="1">
        <f t="array" ref="P38">_xlfn.LET(
  _xlpm.target,IFERROR(_xlfn.TEXTBEFORE(_xlfn.TEXTAFTER($F38,"：「"),"」("),""),
  _xlpm.words,TRIM(_xlfn.TEXTSPLIT(P$3,",")),
  IF(SUM(--ISNUMBER(SEARCH(_xlpm.words,_xlpm.target)))&gt;0,"O","X")
)</f>
        <v>X</v>
      </c>
      <c r="Q38" t="str" cm="1">
        <f t="array" ref="Q38">_xlfn.LET(
  _xlpm.target,IFERROR(_xlfn.TEXTBEFORE(_xlfn.TEXTAFTER($F38,"：「"),"」("),""),
  _xlpm.words,TRIM(_xlfn.TEXTSPLIT(Q$3,",")),
  IF(SUM(--ISNUMBER(SEARCH(_xlpm.words,_xlpm.target)))&gt;0,"O","X")
)</f>
        <v>O</v>
      </c>
      <c r="R38" t="str" cm="1">
        <f t="array" ref="R38">_xlfn.LET(
  _xlpm.target,IFERROR(_xlfn.TEXTBEFORE(_xlfn.TEXTAFTER($F38,"：「"),"」("),""),
  _xlpm.words,TRIM(_xlfn.TEXTSPLIT(R$3,",")),
  IF(SUM(--ISNUMBER(SEARCH(_xlpm.words,_xlpm.target)))&gt;0,"O","X")
)</f>
        <v>X</v>
      </c>
      <c r="S38" t="str" cm="1">
        <f t="array" ref="S38">_xlfn.LET(
  _xlpm.target,IFERROR(_xlfn.TEXTBEFORE(_xlfn.TEXTAFTER($F38,"：「"),"」("),""),
  _xlpm.words,TRIM(_xlfn.TEXTSPLIT(S$3,",")),
  IF(SUM(--ISNUMBER(SEARCH(_xlpm.words,_xlpm.target)))&gt;0,"O","X")
)</f>
        <v>X</v>
      </c>
      <c r="T38" t="str" cm="1">
        <f t="array" ref="T38">_xlfn.LET(
  _xlpm.target,IFERROR(_xlfn.TEXTBEFORE(_xlfn.TEXTAFTER($F38,"：「"),"」("),""),
  _xlpm.words,TRIM(_xlfn.TEXTSPLIT(T$3,",")),
  IF(SUM(--ISNUMBER(SEARCH(_xlpm.words,_xlpm.target)))&gt;0,"O","X")
)</f>
        <v>O</v>
      </c>
      <c r="U38" t="str" cm="1">
        <f t="array" ref="U38">_xlfn.LET(
  _xlpm.target,IFERROR(_xlfn.TEXTBEFORE(_xlfn.TEXTAFTER($F38,"：「"),"」("),""),
  _xlpm.words,TRIM(_xlfn.TEXTSPLIT(U$3,",")),
  IF(SUM(--ISNUMBER(SEARCH(_xlpm.words,_xlpm.target)))&gt;0,"O","X")
)</f>
        <v>X</v>
      </c>
      <c r="V38" t="str" cm="1">
        <f t="array" ref="V38">_xlfn.LET(
  _xlpm.target,IFERROR(_xlfn.TEXTBEFORE(_xlfn.TEXTAFTER($F38,"：「"),"」("),""),
  _xlpm.words,TRIM(_xlfn.TEXTSPLIT(V$3,",")),
  IF(SUM(--ISNUMBER(SEARCH(_xlpm.words,_xlpm.target)))&gt;0,"O","X")
)</f>
        <v>O</v>
      </c>
      <c r="W38" t="str" cm="1">
        <f t="array" ref="W38">_xlfn.LET(
  _xlpm.target,IFERROR(_xlfn.TEXTBEFORE(_xlfn.TEXTAFTER($F38,"：「"),"」("),""),
  _xlpm.words,TRIM(_xlfn.TEXTSPLIT(W$3,",")),
  IF(SUM(--ISNUMBER(SEARCH(_xlpm.words,_xlpm.target)))&gt;0,"O","X")
)</f>
        <v>X</v>
      </c>
      <c r="X38" t="str" cm="1">
        <f t="array" ref="X38">_xlfn.LET(
  _xlpm.target,IFERROR(_xlfn.TEXTBEFORE(_xlfn.TEXTAFTER($F38,"：「"),"」("),""),
  _xlpm.words,TRIM(_xlfn.TEXTSPLIT(X$3,",")),
  IF(SUM(--ISNUMBER(SEARCH(_xlpm.words,_xlpm.target)))&gt;0,"O","X")
)</f>
        <v>X</v>
      </c>
    </row>
    <row r="39" spans="1:24" ht="18">
      <c r="A39">
        <v>36</v>
      </c>
      <c r="B39" t="s">
        <v>87</v>
      </c>
      <c r="C39" t="s">
        <v>72</v>
      </c>
      <c r="D39" t="s">
        <v>82</v>
      </c>
      <c r="E39" t="s">
        <v>88</v>
      </c>
      <c r="F39" t="s">
        <v>195</v>
      </c>
      <c r="G39">
        <f>(LEN(F39)-LEN(SUBSTITUTE(F39,"帝網","")))/LEN("帝網")
 +(LEN(F39)-LEN(SUBSTITUTE(F39,"帝釋網","")))/LEN("帝釋網")
 +(LEN(F39)-LEN(SUBSTITUTE(F39,"因陀羅網","")))/LEN("因陀羅網")</f>
        <v>1</v>
      </c>
      <c r="H39" t="str">
        <f>_xlfn.TEXTBEFORE(_xlfn.TEXTAFTER(F39,"p. "),")")</f>
        <v>870b24-c4</v>
      </c>
      <c r="I39">
        <f>LEN(_xlfn.TEXTBEFORE(_xlfn.TEXTAFTER(F39,"：「"),"」(CBETA"))</f>
        <v>83</v>
      </c>
      <c r="J39" t="s">
        <v>95</v>
      </c>
      <c r="K39" s="1"/>
      <c r="L39" s="1" t="s">
        <v>120</v>
      </c>
      <c r="M39" s="1" t="s">
        <v>136</v>
      </c>
      <c r="N39" s="1" t="s">
        <v>124</v>
      </c>
      <c r="O39" t="str" cm="1">
        <f t="array" ref="O39">_xlfn.LET(
  _xlpm.target,IFERROR(_xlfn.TEXTBEFORE(_xlfn.TEXTAFTER($F39,"：「"),"」("),""),
  _xlpm.words,TRIM(_xlfn.TEXTSPLIT(O$3,",")),
  IF(SUM(--ISNUMBER(SEARCH(_xlpm.words,_xlpm.target)))&gt;0,"O","X")
)</f>
        <v>X</v>
      </c>
      <c r="P39" t="str" cm="1">
        <f t="array" ref="P39">_xlfn.LET(
  _xlpm.target,IFERROR(_xlfn.TEXTBEFORE(_xlfn.TEXTAFTER($F39,"：「"),"」("),""),
  _xlpm.words,TRIM(_xlfn.TEXTSPLIT(P$3,",")),
  IF(SUM(--ISNUMBER(SEARCH(_xlpm.words,_xlpm.target)))&gt;0,"O","X")
)</f>
        <v>X</v>
      </c>
      <c r="Q39" t="str" cm="1">
        <f t="array" ref="Q39">_xlfn.LET(
  _xlpm.target,IFERROR(_xlfn.TEXTBEFORE(_xlfn.TEXTAFTER($F39,"：「"),"」("),""),
  _xlpm.words,TRIM(_xlfn.TEXTSPLIT(Q$3,",")),
  IF(SUM(--ISNUMBER(SEARCH(_xlpm.words,_xlpm.target)))&gt;0,"O","X")
)</f>
        <v>O</v>
      </c>
      <c r="R39" t="str" cm="1">
        <f t="array" ref="R39">_xlfn.LET(
  _xlpm.target,IFERROR(_xlfn.TEXTBEFORE(_xlfn.TEXTAFTER($F39,"：「"),"」("),""),
  _xlpm.words,TRIM(_xlfn.TEXTSPLIT(R$3,",")),
  IF(SUM(--ISNUMBER(SEARCH(_xlpm.words,_xlpm.target)))&gt;0,"O","X")
)</f>
        <v>X</v>
      </c>
      <c r="S39" t="str" cm="1">
        <f t="array" ref="S39">_xlfn.LET(
  _xlpm.target,IFERROR(_xlfn.TEXTBEFORE(_xlfn.TEXTAFTER($F39,"：「"),"」("),""),
  _xlpm.words,TRIM(_xlfn.TEXTSPLIT(S$3,",")),
  IF(SUM(--ISNUMBER(SEARCH(_xlpm.words,_xlpm.target)))&gt;0,"O","X")
)</f>
        <v>X</v>
      </c>
      <c r="T39" t="str" cm="1">
        <f t="array" ref="T39">_xlfn.LET(
  _xlpm.target,IFERROR(_xlfn.TEXTBEFORE(_xlfn.TEXTAFTER($F39,"：「"),"」("),""),
  _xlpm.words,TRIM(_xlfn.TEXTSPLIT(T$3,",")),
  IF(SUM(--ISNUMBER(SEARCH(_xlpm.words,_xlpm.target)))&gt;0,"O","X")
)</f>
        <v>O</v>
      </c>
      <c r="U39" t="str" cm="1">
        <f t="array" ref="U39">_xlfn.LET(
  _xlpm.target,IFERROR(_xlfn.TEXTBEFORE(_xlfn.TEXTAFTER($F39,"：「"),"」("),""),
  _xlpm.words,TRIM(_xlfn.TEXTSPLIT(U$3,",")),
  IF(SUM(--ISNUMBER(SEARCH(_xlpm.words,_xlpm.target)))&gt;0,"O","X")
)</f>
        <v>O</v>
      </c>
      <c r="V39" t="str" cm="1">
        <f t="array" ref="V39">_xlfn.LET(
  _xlpm.target,IFERROR(_xlfn.TEXTBEFORE(_xlfn.TEXTAFTER($F39,"：「"),"」("),""),
  _xlpm.words,TRIM(_xlfn.TEXTSPLIT(V$3,",")),
  IF(SUM(--ISNUMBER(SEARCH(_xlpm.words,_xlpm.target)))&gt;0,"O","X")
)</f>
        <v>X</v>
      </c>
      <c r="W39" t="str" cm="1">
        <f t="array" ref="W39">_xlfn.LET(
  _xlpm.target,IFERROR(_xlfn.TEXTBEFORE(_xlfn.TEXTAFTER($F39,"：「"),"」("),""),
  _xlpm.words,TRIM(_xlfn.TEXTSPLIT(W$3,",")),
  IF(SUM(--ISNUMBER(SEARCH(_xlpm.words,_xlpm.target)))&gt;0,"O","X")
)</f>
        <v>O</v>
      </c>
      <c r="X39" t="str" cm="1">
        <f t="array" ref="X39">_xlfn.LET(
  _xlpm.target,IFERROR(_xlfn.TEXTBEFORE(_xlfn.TEXTAFTER($F39,"：「"),"」("),""),
  _xlpm.words,TRIM(_xlfn.TEXTSPLIT(X$3,",")),
  IF(SUM(--ISNUMBER(SEARCH(_xlpm.words,_xlpm.target)))&gt;0,"O","X")
)</f>
        <v>X</v>
      </c>
    </row>
    <row r="40" spans="1:24" ht="18.75">
      <c r="A40">
        <v>37</v>
      </c>
      <c r="B40" t="s">
        <v>89</v>
      </c>
      <c r="C40" t="s">
        <v>72</v>
      </c>
      <c r="D40" t="s">
        <v>82</v>
      </c>
      <c r="E40" t="s">
        <v>90</v>
      </c>
      <c r="F40" t="s">
        <v>100</v>
      </c>
      <c r="G40">
        <f>(LEN(F40)-LEN(SUBSTITUTE(F40,"帝網","")))/LEN("帝網")
 +(LEN(F40)-LEN(SUBSTITUTE(F40,"帝釋網","")))/LEN("帝釋網")
 +(LEN(F40)-LEN(SUBSTITUTE(F40,"因陀羅網","")))/LEN("因陀羅網")</f>
        <v>4</v>
      </c>
      <c r="H40" t="str">
        <f>_xlfn.TEXTBEFORE(_xlfn.TEXTAFTER(F40,"p. "),")")</f>
        <v>99a7-13</v>
      </c>
      <c r="I40">
        <f>LEN(_xlfn.TEXTBEFORE(_xlfn.TEXTAFTER(F40,"：「"),"」(CBETA"))</f>
        <v>150</v>
      </c>
      <c r="J40" t="s">
        <v>95</v>
      </c>
      <c r="K40" s="1"/>
      <c r="L40" s="1" t="s">
        <v>120</v>
      </c>
      <c r="M40" s="1" t="s">
        <v>136</v>
      </c>
      <c r="N40" s="1" t="s">
        <v>115</v>
      </c>
      <c r="O40" t="str" cm="1">
        <f t="array" ref="O40">_xlfn.LET(
  _xlpm.target,IFERROR(_xlfn.TEXTBEFORE(_xlfn.TEXTAFTER($F40,"：「"),"」("),""),
  _xlpm.words,TRIM(_xlfn.TEXTSPLIT(O$3,",")),
  IF(SUM(--ISNUMBER(SEARCH(_xlpm.words,_xlpm.target)))&gt;0,"O","X")
)</f>
        <v>O</v>
      </c>
      <c r="P40" t="str" cm="1">
        <f t="array" ref="P40">_xlfn.LET(
  _xlpm.target,IFERROR(_xlfn.TEXTBEFORE(_xlfn.TEXTAFTER($F40,"：「"),"」("),""),
  _xlpm.words,TRIM(_xlfn.TEXTSPLIT(P$3,",")),
  IF(SUM(--ISNUMBER(SEARCH(_xlpm.words,_xlpm.target)))&gt;0,"O","X")
)</f>
        <v>X</v>
      </c>
      <c r="Q40" t="str" cm="1">
        <f t="array" ref="Q40">_xlfn.LET(
  _xlpm.target,IFERROR(_xlfn.TEXTBEFORE(_xlfn.TEXTAFTER($F40,"：「"),"」("),""),
  _xlpm.words,TRIM(_xlfn.TEXTSPLIT(Q$3,",")),
  IF(SUM(--ISNUMBER(SEARCH(_xlpm.words,_xlpm.target)))&gt;0,"O","X")
)</f>
        <v>O</v>
      </c>
      <c r="R40" t="str" cm="1">
        <f t="array" ref="R40">_xlfn.LET(
  _xlpm.target,IFERROR(_xlfn.TEXTBEFORE(_xlfn.TEXTAFTER($F40,"：「"),"」("),""),
  _xlpm.words,TRIM(_xlfn.TEXTSPLIT(R$3,",")),
  IF(SUM(--ISNUMBER(SEARCH(_xlpm.words,_xlpm.target)))&gt;0,"O","X")
)</f>
        <v>X</v>
      </c>
      <c r="S40" t="str" cm="1">
        <f t="array" ref="S40">_xlfn.LET(
  _xlpm.target,IFERROR(_xlfn.TEXTBEFORE(_xlfn.TEXTAFTER($F40,"：「"),"」("),""),
  _xlpm.words,TRIM(_xlfn.TEXTSPLIT(S$3,",")),
  IF(SUM(--ISNUMBER(SEARCH(_xlpm.words,_xlpm.target)))&gt;0,"O","X")
)</f>
        <v>X</v>
      </c>
      <c r="T40" t="str" cm="1">
        <f t="array" ref="T40">_xlfn.LET(
  _xlpm.target,IFERROR(_xlfn.TEXTBEFORE(_xlfn.TEXTAFTER($F40,"：「"),"」("),""),
  _xlpm.words,TRIM(_xlfn.TEXTSPLIT(T$3,",")),
  IF(SUM(--ISNUMBER(SEARCH(_xlpm.words,_xlpm.target)))&gt;0,"O","X")
)</f>
        <v>O</v>
      </c>
      <c r="U40" t="str" cm="1">
        <f t="array" ref="U40">_xlfn.LET(
  _xlpm.target,IFERROR(_xlfn.TEXTBEFORE(_xlfn.TEXTAFTER($F40,"：「"),"」("),""),
  _xlpm.words,TRIM(_xlfn.TEXTSPLIT(U$3,",")),
  IF(SUM(--ISNUMBER(SEARCH(_xlpm.words,_xlpm.target)))&gt;0,"O","X")
)</f>
        <v>O</v>
      </c>
      <c r="V40" t="str" cm="1">
        <f t="array" ref="V40">_xlfn.LET(
  _xlpm.target,IFERROR(_xlfn.TEXTBEFORE(_xlfn.TEXTAFTER($F40,"：「"),"」("),""),
  _xlpm.words,TRIM(_xlfn.TEXTSPLIT(V$3,",")),
  IF(SUM(--ISNUMBER(SEARCH(_xlpm.words,_xlpm.target)))&gt;0,"O","X")
)</f>
        <v>X</v>
      </c>
      <c r="W40" t="str" cm="1">
        <f t="array" ref="W40">_xlfn.LET(
  _xlpm.target,IFERROR(_xlfn.TEXTBEFORE(_xlfn.TEXTAFTER($F40,"：「"),"」("),""),
  _xlpm.words,TRIM(_xlfn.TEXTSPLIT(W$3,",")),
  IF(SUM(--ISNUMBER(SEARCH(_xlpm.words,_xlpm.target)))&gt;0,"O","X")
)</f>
        <v>O</v>
      </c>
      <c r="X40" t="str" cm="1">
        <f t="array" ref="X40">_xlfn.LET(
  _xlpm.target,IFERROR(_xlfn.TEXTBEFORE(_xlfn.TEXTAFTER($F40,"：「"),"」("),""),
  _xlpm.words,TRIM(_xlfn.TEXTSPLIT(X$3,",")),
  IF(SUM(--ISNUMBER(SEARCH(_xlpm.words,_xlpm.target)))&gt;0,"O","X")
)</f>
        <v>O</v>
      </c>
    </row>
    <row r="41" spans="1:24">
      <c r="A41">
        <v>38</v>
      </c>
      <c r="B41" t="s">
        <v>140</v>
      </c>
      <c r="C41" t="s">
        <v>141</v>
      </c>
      <c r="D41" t="s">
        <v>142</v>
      </c>
      <c r="E41" t="s">
        <v>143</v>
      </c>
      <c r="F41" t="s">
        <v>176</v>
      </c>
      <c r="G41">
        <f>(LEN(F41)-LEN(SUBSTITUTE(F41,"帝網","")))/LEN("帝網")
 +(LEN(F41)-LEN(SUBSTITUTE(F41,"帝釋網","")))/LEN("帝釋網")
 +(LEN(F41)-LEN(SUBSTITUTE(F41,"因陀羅網","")))/LEN("因陀羅網")</f>
        <v>1</v>
      </c>
      <c r="H41" t="str">
        <f>_xlfn.TEXTBEFORE(_xlfn.TEXTAFTER(F41,"p. "),")")</f>
        <v>15b1-8</v>
      </c>
      <c r="I41">
        <f>LEN(_xlfn.TEXTBEFORE(_xlfn.TEXTAFTER(F41,"：「"),"」(CBETA"))</f>
        <v>129</v>
      </c>
      <c r="J41" t="s">
        <v>197</v>
      </c>
      <c r="K41" s="3"/>
      <c r="L41" s="1" t="s">
        <v>209</v>
      </c>
      <c r="M41" s="1" t="s">
        <v>136</v>
      </c>
      <c r="N41" s="1" t="s">
        <v>115</v>
      </c>
      <c r="O41" t="str" cm="1">
        <f t="array" ref="O41">_xlfn.LET(
  _xlpm.target,IFERROR(_xlfn.TEXTBEFORE(_xlfn.TEXTAFTER($F41,"：「"),"」("),""),
  _xlpm.words,TRIM(_xlfn.TEXTSPLIT(O$3,",")),
  IF(SUM(--ISNUMBER(SEARCH(_xlpm.words,_xlpm.target)))&gt;0,"O","X")
)</f>
        <v>X</v>
      </c>
      <c r="P41" t="str" cm="1">
        <f t="array" ref="P41">_xlfn.LET(
  _xlpm.target,IFERROR(_xlfn.TEXTBEFORE(_xlfn.TEXTAFTER($F41,"：「"),"」("),""),
  _xlpm.words,TRIM(_xlfn.TEXTSPLIT(P$3,",")),
  IF(SUM(--ISNUMBER(SEARCH(_xlpm.words,_xlpm.target)))&gt;0,"O","X")
)</f>
        <v>X</v>
      </c>
      <c r="Q41" t="str" cm="1">
        <f t="array" ref="Q41">_xlfn.LET(
  _xlpm.target,IFERROR(_xlfn.TEXTBEFORE(_xlfn.TEXTAFTER($F41,"：「"),"」("),""),
  _xlpm.words,TRIM(_xlfn.TEXTSPLIT(Q$3,",")),
  IF(SUM(--ISNUMBER(SEARCH(_xlpm.words,_xlpm.target)))&gt;0,"O","X")
)</f>
        <v>X</v>
      </c>
      <c r="R41" t="str" cm="1">
        <f t="array" ref="R41">_xlfn.LET(
  _xlpm.target,IFERROR(_xlfn.TEXTBEFORE(_xlfn.TEXTAFTER($F41,"：「"),"」("),""),
  _xlpm.words,TRIM(_xlfn.TEXTSPLIT(R$3,",")),
  IF(SUM(--ISNUMBER(SEARCH(_xlpm.words,_xlpm.target)))&gt;0,"O","X")
)</f>
        <v>X</v>
      </c>
      <c r="S41" t="str" cm="1">
        <f t="array" ref="S41">_xlfn.LET(
  _xlpm.target,IFERROR(_xlfn.TEXTBEFORE(_xlfn.TEXTAFTER($F41,"：「"),"」("),""),
  _xlpm.words,TRIM(_xlfn.TEXTSPLIT(S$3,",")),
  IF(SUM(--ISNUMBER(SEARCH(_xlpm.words,_xlpm.target)))&gt;0,"O","X")
)</f>
        <v>X</v>
      </c>
      <c r="T41" t="str" cm="1">
        <f t="array" ref="T41">_xlfn.LET(
  _xlpm.target,IFERROR(_xlfn.TEXTBEFORE(_xlfn.TEXTAFTER($F41,"：「"),"」("),""),
  _xlpm.words,TRIM(_xlfn.TEXTSPLIT(T$3,",")),
  IF(SUM(--ISNUMBER(SEARCH(_xlpm.words,_xlpm.target)))&gt;0,"O","X")
)</f>
        <v>X</v>
      </c>
      <c r="U41" t="str" cm="1">
        <f t="array" ref="U41">_xlfn.LET(
  _xlpm.target,IFERROR(_xlfn.TEXTBEFORE(_xlfn.TEXTAFTER($F41,"：「"),"」("),""),
  _xlpm.words,TRIM(_xlfn.TEXTSPLIT(U$3,",")),
  IF(SUM(--ISNUMBER(SEARCH(_xlpm.words,_xlpm.target)))&gt;0,"O","X")
)</f>
        <v>O</v>
      </c>
      <c r="V41" t="str" cm="1">
        <f t="array" ref="V41">_xlfn.LET(
  _xlpm.target,IFERROR(_xlfn.TEXTBEFORE(_xlfn.TEXTAFTER($F41,"：「"),"」("),""),
  _xlpm.words,TRIM(_xlfn.TEXTSPLIT(V$3,",")),
  IF(SUM(--ISNUMBER(SEARCH(_xlpm.words,_xlpm.target)))&gt;0,"O","X")
)</f>
        <v>O</v>
      </c>
      <c r="W41" t="str" cm="1">
        <f t="array" ref="W41">_xlfn.LET(
  _xlpm.target,IFERROR(_xlfn.TEXTBEFORE(_xlfn.TEXTAFTER($F41,"：「"),"」("),""),
  _xlpm.words,TRIM(_xlfn.TEXTSPLIT(W$3,",")),
  IF(SUM(--ISNUMBER(SEARCH(_xlpm.words,_xlpm.target)))&gt;0,"O","X")
)</f>
        <v>X</v>
      </c>
      <c r="X41" t="str" cm="1">
        <f t="array" ref="X41">_xlfn.LET(
  _xlpm.target,IFERROR(_xlfn.TEXTBEFORE(_xlfn.TEXTAFTER($F41,"：「"),"」("),""),
  _xlpm.words,TRIM(_xlfn.TEXTSPLIT(X$3,",")),
  IF(SUM(--ISNUMBER(SEARCH(_xlpm.words,_xlpm.target)))&gt;0,"O","X")
)</f>
        <v>X</v>
      </c>
    </row>
    <row r="42" spans="1:24">
      <c r="A42">
        <v>39</v>
      </c>
      <c r="B42" t="s">
        <v>140</v>
      </c>
      <c r="C42" t="s">
        <v>141</v>
      </c>
      <c r="D42" t="s">
        <v>142</v>
      </c>
      <c r="E42" t="s">
        <v>143</v>
      </c>
      <c r="F42" t="s">
        <v>177</v>
      </c>
      <c r="G42">
        <f>(LEN(F42)-LEN(SUBSTITUTE(F42,"帝網","")))/LEN("帝網")
 +(LEN(F42)-LEN(SUBSTITUTE(F42,"帝釋網","")))/LEN("帝釋網")
 +(LEN(F42)-LEN(SUBSTITUTE(F42,"因陀羅網","")))/LEN("因陀羅網")</f>
        <v>1</v>
      </c>
      <c r="H42" t="str">
        <f>_xlfn.TEXTBEFORE(_xlfn.TEXTAFTER(F42,"p. "),")")</f>
        <v>19a16-18</v>
      </c>
      <c r="I42">
        <f>LEN(_xlfn.TEXTBEFORE(_xlfn.TEXTAFTER(F42,"：「"),"」(CBETA"))</f>
        <v>45</v>
      </c>
      <c r="J42" t="s">
        <v>197</v>
      </c>
      <c r="K42" s="3" t="s">
        <v>202</v>
      </c>
      <c r="L42" s="1" t="s">
        <v>209</v>
      </c>
      <c r="M42" s="1" t="s">
        <v>136</v>
      </c>
      <c r="N42" s="1" t="s">
        <v>115</v>
      </c>
      <c r="O42" t="str" cm="1">
        <f t="array" ref="O42">_xlfn.LET(
  _xlpm.target,IFERROR(_xlfn.TEXTBEFORE(_xlfn.TEXTAFTER($F42,"：「"),"」("),""),
  _xlpm.words,TRIM(_xlfn.TEXTSPLIT(O$3,",")),
  IF(SUM(--ISNUMBER(SEARCH(_xlpm.words,_xlpm.target)))&gt;0,"O","X")
)</f>
        <v>X</v>
      </c>
      <c r="P42" t="str" cm="1">
        <f t="array" ref="P42">_xlfn.LET(
  _xlpm.target,IFERROR(_xlfn.TEXTBEFORE(_xlfn.TEXTAFTER($F42,"：「"),"」("),""),
  _xlpm.words,TRIM(_xlfn.TEXTSPLIT(P$3,",")),
  IF(SUM(--ISNUMBER(SEARCH(_xlpm.words,_xlpm.target)))&gt;0,"O","X")
)</f>
        <v>X</v>
      </c>
      <c r="Q42" t="str" cm="1">
        <f t="array" ref="Q42">_xlfn.LET(
  _xlpm.target,IFERROR(_xlfn.TEXTBEFORE(_xlfn.TEXTAFTER($F42,"：「"),"」("),""),
  _xlpm.words,TRIM(_xlfn.TEXTSPLIT(Q$3,",")),
  IF(SUM(--ISNUMBER(SEARCH(_xlpm.words,_xlpm.target)))&gt;0,"O","X")
)</f>
        <v>X</v>
      </c>
      <c r="R42" t="str" cm="1">
        <f t="array" ref="R42">_xlfn.LET(
  _xlpm.target,IFERROR(_xlfn.TEXTBEFORE(_xlfn.TEXTAFTER($F42,"：「"),"」("),""),
  _xlpm.words,TRIM(_xlfn.TEXTSPLIT(R$3,",")),
  IF(SUM(--ISNUMBER(SEARCH(_xlpm.words,_xlpm.target)))&gt;0,"O","X")
)</f>
        <v>X</v>
      </c>
      <c r="S42" t="str" cm="1">
        <f t="array" ref="S42">_xlfn.LET(
  _xlpm.target,IFERROR(_xlfn.TEXTBEFORE(_xlfn.TEXTAFTER($F42,"：「"),"」("),""),
  _xlpm.words,TRIM(_xlfn.TEXTSPLIT(S$3,",")),
  IF(SUM(--ISNUMBER(SEARCH(_xlpm.words,_xlpm.target)))&gt;0,"O","X")
)</f>
        <v>X</v>
      </c>
      <c r="T42" t="str" cm="1">
        <f t="array" ref="T42">_xlfn.LET(
  _xlpm.target,IFERROR(_xlfn.TEXTBEFORE(_xlfn.TEXTAFTER($F42,"：「"),"」("),""),
  _xlpm.words,TRIM(_xlfn.TEXTSPLIT(T$3,",")),
  IF(SUM(--ISNUMBER(SEARCH(_xlpm.words,_xlpm.target)))&gt;0,"O","X")
)</f>
        <v>X</v>
      </c>
      <c r="U42" t="str" cm="1">
        <f t="array" ref="U42">_xlfn.LET(
  _xlpm.target,IFERROR(_xlfn.TEXTBEFORE(_xlfn.TEXTAFTER($F42,"：「"),"」("),""),
  _xlpm.words,TRIM(_xlfn.TEXTSPLIT(U$3,",")),
  IF(SUM(--ISNUMBER(SEARCH(_xlpm.words,_xlpm.target)))&gt;0,"O","X")
)</f>
        <v>O</v>
      </c>
      <c r="V42" t="str" cm="1">
        <f t="array" ref="V42">_xlfn.LET(
  _xlpm.target,IFERROR(_xlfn.TEXTBEFORE(_xlfn.TEXTAFTER($F42,"：「"),"」("),""),
  _xlpm.words,TRIM(_xlfn.TEXTSPLIT(V$3,",")),
  IF(SUM(--ISNUMBER(SEARCH(_xlpm.words,_xlpm.target)))&gt;0,"O","X")
)</f>
        <v>X</v>
      </c>
      <c r="W42" t="str" cm="1">
        <f t="array" ref="W42">_xlfn.LET(
  _xlpm.target,IFERROR(_xlfn.TEXTBEFORE(_xlfn.TEXTAFTER($F42,"：「"),"」("),""),
  _xlpm.words,TRIM(_xlfn.TEXTSPLIT(W$3,",")),
  IF(SUM(--ISNUMBER(SEARCH(_xlpm.words,_xlpm.target)))&gt;0,"O","X")
)</f>
        <v>X</v>
      </c>
      <c r="X42" t="str" cm="1">
        <f t="array" ref="X42">_xlfn.LET(
  _xlpm.target,IFERROR(_xlfn.TEXTBEFORE(_xlfn.TEXTAFTER($F42,"：「"),"」("),""),
  _xlpm.words,TRIM(_xlfn.TEXTSPLIT(X$3,",")),
  IF(SUM(--ISNUMBER(SEARCH(_xlpm.words,_xlpm.target)))&gt;0,"O","X")
)</f>
        <v>X</v>
      </c>
    </row>
    <row r="43" spans="1:24">
      <c r="A43">
        <v>40</v>
      </c>
      <c r="B43" t="s">
        <v>140</v>
      </c>
      <c r="C43" t="s">
        <v>141</v>
      </c>
      <c r="D43" t="s">
        <v>142</v>
      </c>
      <c r="E43" t="s">
        <v>143</v>
      </c>
      <c r="F43" t="s">
        <v>150</v>
      </c>
      <c r="G43">
        <f>(LEN(F43)-LEN(SUBSTITUTE(F43,"帝網","")))/LEN("帝網")
 +(LEN(F43)-LEN(SUBSTITUTE(F43,"帝釋網","")))/LEN("帝釋網")
 +(LEN(F43)-LEN(SUBSTITUTE(F43,"因陀羅網","")))/LEN("因陀羅網")</f>
        <v>1</v>
      </c>
      <c r="H43" t="str">
        <f>_xlfn.TEXTBEFORE(_xlfn.TEXTAFTER(F43,"p. "),")")</f>
        <v>24a10-11</v>
      </c>
      <c r="I43">
        <f>LEN(_xlfn.TEXTBEFORE(_xlfn.TEXTAFTER(F43,"：「"),"」(CBETA"))</f>
        <v>11</v>
      </c>
      <c r="J43" t="s">
        <v>197</v>
      </c>
      <c r="K43" s="3" t="s">
        <v>203</v>
      </c>
      <c r="L43" s="1" t="s">
        <v>209</v>
      </c>
      <c r="M43" s="1" t="s">
        <v>136</v>
      </c>
      <c r="N43" s="1" t="s">
        <v>115</v>
      </c>
      <c r="O43" t="str" cm="1">
        <f t="array" ref="O43">_xlfn.LET(
  _xlpm.target,IFERROR(_xlfn.TEXTBEFORE(_xlfn.TEXTAFTER($F43,"：「"),"」("),""),
  _xlpm.words,TRIM(_xlfn.TEXTSPLIT(O$3,",")),
  IF(SUM(--ISNUMBER(SEARCH(_xlpm.words,_xlpm.target)))&gt;0,"O","X")
)</f>
        <v>X</v>
      </c>
      <c r="P43" t="str" cm="1">
        <f t="array" ref="P43">_xlfn.LET(
  _xlpm.target,IFERROR(_xlfn.TEXTBEFORE(_xlfn.TEXTAFTER($F43,"：「"),"」("),""),
  _xlpm.words,TRIM(_xlfn.TEXTSPLIT(P$3,",")),
  IF(SUM(--ISNUMBER(SEARCH(_xlpm.words,_xlpm.target)))&gt;0,"O","X")
)</f>
        <v>X</v>
      </c>
      <c r="Q43" t="str" cm="1">
        <f t="array" ref="Q43">_xlfn.LET(
  _xlpm.target,IFERROR(_xlfn.TEXTBEFORE(_xlfn.TEXTAFTER($F43,"：「"),"」("),""),
  _xlpm.words,TRIM(_xlfn.TEXTSPLIT(Q$3,",")),
  IF(SUM(--ISNUMBER(SEARCH(_xlpm.words,_xlpm.target)))&gt;0,"O","X")
)</f>
        <v>O</v>
      </c>
      <c r="R43" t="str" cm="1">
        <f t="array" ref="R43">_xlfn.LET(
  _xlpm.target,IFERROR(_xlfn.TEXTBEFORE(_xlfn.TEXTAFTER($F43,"：「"),"」("),""),
  _xlpm.words,TRIM(_xlfn.TEXTSPLIT(R$3,",")),
  IF(SUM(--ISNUMBER(SEARCH(_xlpm.words,_xlpm.target)))&gt;0,"O","X")
)</f>
        <v>X</v>
      </c>
      <c r="S43" t="str" cm="1">
        <f t="array" ref="S43">_xlfn.LET(
  _xlpm.target,IFERROR(_xlfn.TEXTBEFORE(_xlfn.TEXTAFTER($F43,"：「"),"」("),""),
  _xlpm.words,TRIM(_xlfn.TEXTSPLIT(S$3,",")),
  IF(SUM(--ISNUMBER(SEARCH(_xlpm.words,_xlpm.target)))&gt;0,"O","X")
)</f>
        <v>X</v>
      </c>
      <c r="T43" t="str" cm="1">
        <f t="array" ref="T43">_xlfn.LET(
  _xlpm.target,IFERROR(_xlfn.TEXTBEFORE(_xlfn.TEXTAFTER($F43,"：「"),"」("),""),
  _xlpm.words,TRIM(_xlfn.TEXTSPLIT(T$3,",")),
  IF(SUM(--ISNUMBER(SEARCH(_xlpm.words,_xlpm.target)))&gt;0,"O","X")
)</f>
        <v>X</v>
      </c>
      <c r="U43" t="str" cm="1">
        <f t="array" ref="U43">_xlfn.LET(
  _xlpm.target,IFERROR(_xlfn.TEXTBEFORE(_xlfn.TEXTAFTER($F43,"：「"),"」("),""),
  _xlpm.words,TRIM(_xlfn.TEXTSPLIT(U$3,",")),
  IF(SUM(--ISNUMBER(SEARCH(_xlpm.words,_xlpm.target)))&gt;0,"O","X")
)</f>
        <v>X</v>
      </c>
      <c r="V43" t="str" cm="1">
        <f t="array" ref="V43">_xlfn.LET(
  _xlpm.target,IFERROR(_xlfn.TEXTBEFORE(_xlfn.TEXTAFTER($F43,"：「"),"」("),""),
  _xlpm.words,TRIM(_xlfn.TEXTSPLIT(V$3,",")),
  IF(SUM(--ISNUMBER(SEARCH(_xlpm.words,_xlpm.target)))&gt;0,"O","X")
)</f>
        <v>X</v>
      </c>
      <c r="W43" t="str" cm="1">
        <f t="array" ref="W43">_xlfn.LET(
  _xlpm.target,IFERROR(_xlfn.TEXTBEFORE(_xlfn.TEXTAFTER($F43,"：「"),"」("),""),
  _xlpm.words,TRIM(_xlfn.TEXTSPLIT(W$3,",")),
  IF(SUM(--ISNUMBER(SEARCH(_xlpm.words,_xlpm.target)))&gt;0,"O","X")
)</f>
        <v>X</v>
      </c>
      <c r="X43" t="str" cm="1">
        <f t="array" ref="X43">_xlfn.LET(
  _xlpm.target,IFERROR(_xlfn.TEXTBEFORE(_xlfn.TEXTAFTER($F43,"：「"),"」("),""),
  _xlpm.words,TRIM(_xlfn.TEXTSPLIT(X$3,",")),
  IF(SUM(--ISNUMBER(SEARCH(_xlpm.words,_xlpm.target)))&gt;0,"O","X")
)</f>
        <v>X</v>
      </c>
    </row>
    <row r="44" spans="1:24">
      <c r="A44">
        <v>41</v>
      </c>
      <c r="B44" t="s">
        <v>140</v>
      </c>
      <c r="C44" t="s">
        <v>141</v>
      </c>
      <c r="D44" t="s">
        <v>142</v>
      </c>
      <c r="E44" t="s">
        <v>143</v>
      </c>
      <c r="F44" t="s">
        <v>178</v>
      </c>
      <c r="G44">
        <f>(LEN(F44)-LEN(SUBSTITUTE(F44,"帝網","")))/LEN("帝網")
 +(LEN(F44)-LEN(SUBSTITUTE(F44,"帝釋網","")))/LEN("帝釋網")
 +(LEN(F44)-LEN(SUBSTITUTE(F44,"因陀羅網","")))/LEN("因陀羅網")</f>
        <v>1</v>
      </c>
      <c r="H44" t="str">
        <f>_xlfn.TEXTBEFORE(_xlfn.TEXTAFTER(F44,"p. "),")")</f>
        <v>105b13-14</v>
      </c>
      <c r="I44">
        <f>LEN(_xlfn.TEXTBEFORE(_xlfn.TEXTAFTER(F44,"：「"),"」(CBETA"))</f>
        <v>15</v>
      </c>
      <c r="J44" t="s">
        <v>197</v>
      </c>
      <c r="K44" s="3" t="s">
        <v>204</v>
      </c>
      <c r="L44" s="1" t="s">
        <v>120</v>
      </c>
      <c r="M44" s="1" t="s">
        <v>136</v>
      </c>
      <c r="N44" s="1" t="s">
        <v>115</v>
      </c>
      <c r="O44" t="str" cm="1">
        <f t="array" ref="O44">_xlfn.LET(
  _xlpm.target,IFERROR(_xlfn.TEXTBEFORE(_xlfn.TEXTAFTER($F44,"：「"),"」("),""),
  _xlpm.words,TRIM(_xlfn.TEXTSPLIT(O$3,",")),
  IF(SUM(--ISNUMBER(SEARCH(_xlpm.words,_xlpm.target)))&gt;0,"O","X")
)</f>
        <v>X</v>
      </c>
      <c r="P44" t="str" cm="1">
        <f t="array" ref="P44">_xlfn.LET(
  _xlpm.target,IFERROR(_xlfn.TEXTBEFORE(_xlfn.TEXTAFTER($F44,"：「"),"」("),""),
  _xlpm.words,TRIM(_xlfn.TEXTSPLIT(P$3,",")),
  IF(SUM(--ISNUMBER(SEARCH(_xlpm.words,_xlpm.target)))&gt;0,"O","X")
)</f>
        <v>X</v>
      </c>
      <c r="Q44" t="str" cm="1">
        <f t="array" ref="Q44">_xlfn.LET(
  _xlpm.target,IFERROR(_xlfn.TEXTBEFORE(_xlfn.TEXTAFTER($F44,"：「"),"」("),""),
  _xlpm.words,TRIM(_xlfn.TEXTSPLIT(Q$3,",")),
  IF(SUM(--ISNUMBER(SEARCH(_xlpm.words,_xlpm.target)))&gt;0,"O","X")
)</f>
        <v>X</v>
      </c>
      <c r="R44" t="str" cm="1">
        <f t="array" ref="R44">_xlfn.LET(
  _xlpm.target,IFERROR(_xlfn.TEXTBEFORE(_xlfn.TEXTAFTER($F44,"：「"),"」("),""),
  _xlpm.words,TRIM(_xlfn.TEXTSPLIT(R$3,",")),
  IF(SUM(--ISNUMBER(SEARCH(_xlpm.words,_xlpm.target)))&gt;0,"O","X")
)</f>
        <v>X</v>
      </c>
      <c r="S44" t="str" cm="1">
        <f t="array" ref="S44">_xlfn.LET(
  _xlpm.target,IFERROR(_xlfn.TEXTBEFORE(_xlfn.TEXTAFTER($F44,"：「"),"」("),""),
  _xlpm.words,TRIM(_xlfn.TEXTSPLIT(S$3,",")),
  IF(SUM(--ISNUMBER(SEARCH(_xlpm.words,_xlpm.target)))&gt;0,"O","X")
)</f>
        <v>X</v>
      </c>
      <c r="T44" t="str" cm="1">
        <f t="array" ref="T44">_xlfn.LET(
  _xlpm.target,IFERROR(_xlfn.TEXTBEFORE(_xlfn.TEXTAFTER($F44,"：「"),"」("),""),
  _xlpm.words,TRIM(_xlfn.TEXTSPLIT(T$3,",")),
  IF(SUM(--ISNUMBER(SEARCH(_xlpm.words,_xlpm.target)))&gt;0,"O","X")
)</f>
        <v>X</v>
      </c>
      <c r="U44" t="str" cm="1">
        <f t="array" ref="U44">_xlfn.LET(
  _xlpm.target,IFERROR(_xlfn.TEXTBEFORE(_xlfn.TEXTAFTER($F44,"：「"),"」("),""),
  _xlpm.words,TRIM(_xlfn.TEXTSPLIT(U$3,",")),
  IF(SUM(--ISNUMBER(SEARCH(_xlpm.words,_xlpm.target)))&gt;0,"O","X")
)</f>
        <v>O</v>
      </c>
      <c r="V44" t="str" cm="1">
        <f t="array" ref="V44">_xlfn.LET(
  _xlpm.target,IFERROR(_xlfn.TEXTBEFORE(_xlfn.TEXTAFTER($F44,"：「"),"」("),""),
  _xlpm.words,TRIM(_xlfn.TEXTSPLIT(V$3,",")),
  IF(SUM(--ISNUMBER(SEARCH(_xlpm.words,_xlpm.target)))&gt;0,"O","X")
)</f>
        <v>O</v>
      </c>
      <c r="W44" t="str" cm="1">
        <f t="array" ref="W44">_xlfn.LET(
  _xlpm.target,IFERROR(_xlfn.TEXTBEFORE(_xlfn.TEXTAFTER($F44,"：「"),"」("),""),
  _xlpm.words,TRIM(_xlfn.TEXTSPLIT(W$3,",")),
  IF(SUM(--ISNUMBER(SEARCH(_xlpm.words,_xlpm.target)))&gt;0,"O","X")
)</f>
        <v>X</v>
      </c>
      <c r="X44" t="str" cm="1">
        <f t="array" ref="X44">_xlfn.LET(
  _xlpm.target,IFERROR(_xlfn.TEXTBEFORE(_xlfn.TEXTAFTER($F44,"：「"),"」("),""),
  _xlpm.words,TRIM(_xlfn.TEXTSPLIT(X$3,",")),
  IF(SUM(--ISNUMBER(SEARCH(_xlpm.words,_xlpm.target)))&gt;0,"O","X")
)</f>
        <v>X</v>
      </c>
    </row>
    <row r="45" spans="1:24" ht="18">
      <c r="A45">
        <v>42</v>
      </c>
      <c r="B45" t="s">
        <v>147</v>
      </c>
      <c r="C45" t="s">
        <v>148</v>
      </c>
      <c r="D45" t="s">
        <v>142</v>
      </c>
      <c r="E45" t="s">
        <v>149</v>
      </c>
      <c r="F45" t="s">
        <v>179</v>
      </c>
      <c r="G45">
        <f>(LEN(F45)-LEN(SUBSTITUTE(F45,"帝網","")))/LEN("帝網")
 +(LEN(F45)-LEN(SUBSTITUTE(F45,"帝釋網","")))/LEN("帝釋網")
 +(LEN(F45)-LEN(SUBSTITUTE(F45,"因陀羅網","")))/LEN("因陀羅網")</f>
        <v>1</v>
      </c>
      <c r="H45" t="str">
        <f>_xlfn.TEXTBEFORE(_xlfn.TEXTAFTER(F45,"p. "),")")</f>
        <v>563a22-25</v>
      </c>
      <c r="I45">
        <f>LEN(_xlfn.TEXTBEFORE(_xlfn.TEXTAFTER(F45,"：「"),"」(CBETA"))</f>
        <v>60</v>
      </c>
      <c r="J45" t="s">
        <v>197</v>
      </c>
      <c r="K45" s="3"/>
      <c r="L45" s="1" t="s">
        <v>123</v>
      </c>
      <c r="M45" s="1" t="s">
        <v>136</v>
      </c>
      <c r="N45" s="1" t="s">
        <v>115</v>
      </c>
      <c r="O45" t="str" cm="1">
        <f t="array" ref="O45">_xlfn.LET(
  _xlpm.target,IFERROR(_xlfn.TEXTBEFORE(_xlfn.TEXTAFTER($F45,"：「"),"」("),""),
  _xlpm.words,TRIM(_xlfn.TEXTSPLIT(O$3,",")),
  IF(SUM(--ISNUMBER(SEARCH(_xlpm.words,_xlpm.target)))&gt;0,"O","X")
)</f>
        <v>O</v>
      </c>
      <c r="P45" t="str" cm="1">
        <f t="array" ref="P45">_xlfn.LET(
  _xlpm.target,IFERROR(_xlfn.TEXTBEFORE(_xlfn.TEXTAFTER($F45,"：「"),"」("),""),
  _xlpm.words,TRIM(_xlfn.TEXTSPLIT(P$3,",")),
  IF(SUM(--ISNUMBER(SEARCH(_xlpm.words,_xlpm.target)))&gt;0,"O","X")
)</f>
        <v>O</v>
      </c>
      <c r="Q45" t="str" cm="1">
        <f t="array" ref="Q45">_xlfn.LET(
  _xlpm.target,IFERROR(_xlfn.TEXTBEFORE(_xlfn.TEXTAFTER($F45,"：「"),"」("),""),
  _xlpm.words,TRIM(_xlfn.TEXTSPLIT(Q$3,",")),
  IF(SUM(--ISNUMBER(SEARCH(_xlpm.words,_xlpm.target)))&gt;0,"O","X")
)</f>
        <v>X</v>
      </c>
      <c r="R45" t="str" cm="1">
        <f t="array" ref="R45">_xlfn.LET(
  _xlpm.target,IFERROR(_xlfn.TEXTBEFORE(_xlfn.TEXTAFTER($F45,"：「"),"」("),""),
  _xlpm.words,TRIM(_xlfn.TEXTSPLIT(R$3,",")),
  IF(SUM(--ISNUMBER(SEARCH(_xlpm.words,_xlpm.target)))&gt;0,"O","X")
)</f>
        <v>X</v>
      </c>
      <c r="S45" t="str" cm="1">
        <f t="array" ref="S45">_xlfn.LET(
  _xlpm.target,IFERROR(_xlfn.TEXTBEFORE(_xlfn.TEXTAFTER($F45,"：「"),"」("),""),
  _xlpm.words,TRIM(_xlfn.TEXTSPLIT(S$3,",")),
  IF(SUM(--ISNUMBER(SEARCH(_xlpm.words,_xlpm.target)))&gt;0,"O","X")
)</f>
        <v>X</v>
      </c>
      <c r="T45" t="str" cm="1">
        <f t="array" ref="T45">_xlfn.LET(
  _xlpm.target,IFERROR(_xlfn.TEXTBEFORE(_xlfn.TEXTAFTER($F45,"：「"),"」("),""),
  _xlpm.words,TRIM(_xlfn.TEXTSPLIT(T$3,",")),
  IF(SUM(--ISNUMBER(SEARCH(_xlpm.words,_xlpm.target)))&gt;0,"O","X")
)</f>
        <v>X</v>
      </c>
      <c r="U45" t="str" cm="1">
        <f t="array" ref="U45">_xlfn.LET(
  _xlpm.target,IFERROR(_xlfn.TEXTBEFORE(_xlfn.TEXTAFTER($F45,"：「"),"」("),""),
  _xlpm.words,TRIM(_xlfn.TEXTSPLIT(U$3,",")),
  IF(SUM(--ISNUMBER(SEARCH(_xlpm.words,_xlpm.target)))&gt;0,"O","X")
)</f>
        <v>O</v>
      </c>
      <c r="V45" t="str" cm="1">
        <f t="array" ref="V45">_xlfn.LET(
  _xlpm.target,IFERROR(_xlfn.TEXTBEFORE(_xlfn.TEXTAFTER($F45,"：「"),"」("),""),
  _xlpm.words,TRIM(_xlfn.TEXTSPLIT(V$3,",")),
  IF(SUM(--ISNUMBER(SEARCH(_xlpm.words,_xlpm.target)))&gt;0,"O","X")
)</f>
        <v>O</v>
      </c>
      <c r="W45" t="str" cm="1">
        <f t="array" ref="W45">_xlfn.LET(
  _xlpm.target,IFERROR(_xlfn.TEXTBEFORE(_xlfn.TEXTAFTER($F45,"：「"),"」("),""),
  _xlpm.words,TRIM(_xlfn.TEXTSPLIT(W$3,",")),
  IF(SUM(--ISNUMBER(SEARCH(_xlpm.words,_xlpm.target)))&gt;0,"O","X")
)</f>
        <v>X</v>
      </c>
      <c r="X45" t="str" cm="1">
        <f t="array" ref="X45">_xlfn.LET(
  _xlpm.target,IFERROR(_xlfn.TEXTBEFORE(_xlfn.TEXTAFTER($F45,"：「"),"」("),""),
  _xlpm.words,TRIM(_xlfn.TEXTSPLIT(X$3,",")),
  IF(SUM(--ISNUMBER(SEARCH(_xlpm.words,_xlpm.target)))&gt;0,"O","X")
)</f>
        <v>O</v>
      </c>
    </row>
    <row r="46" spans="1:24">
      <c r="A46">
        <v>43</v>
      </c>
      <c r="B46" t="s">
        <v>147</v>
      </c>
      <c r="C46" t="s">
        <v>148</v>
      </c>
      <c r="D46" t="s">
        <v>142</v>
      </c>
      <c r="E46" t="s">
        <v>149</v>
      </c>
      <c r="F46" t="s">
        <v>180</v>
      </c>
      <c r="G46">
        <f>(LEN(F46)-LEN(SUBSTITUTE(F46,"帝網","")))/LEN("帝網")
 +(LEN(F46)-LEN(SUBSTITUTE(F46,"帝釋網","")))/LEN("帝釋網")
 +(LEN(F46)-LEN(SUBSTITUTE(F46,"因陀羅網","")))/LEN("因陀羅網")</f>
        <v>1</v>
      </c>
      <c r="H46" t="str">
        <f>_xlfn.TEXTBEFORE(_xlfn.TEXTAFTER(F46,"p. "),")")</f>
        <v>587c18-22</v>
      </c>
      <c r="I46">
        <f>LEN(_xlfn.TEXTBEFORE(_xlfn.TEXTAFTER(F46,"：「"),"」(CBETA"))</f>
        <v>77</v>
      </c>
      <c r="J46" t="s">
        <v>198</v>
      </c>
      <c r="K46" s="3"/>
      <c r="L46" s="1" t="s">
        <v>123</v>
      </c>
      <c r="M46" s="1" t="s">
        <v>136</v>
      </c>
      <c r="N46" s="1" t="s">
        <v>115</v>
      </c>
      <c r="O46" t="str" cm="1">
        <f t="array" ref="O46">_xlfn.LET(
  _xlpm.target,IFERROR(_xlfn.TEXTBEFORE(_xlfn.TEXTAFTER($F46,"：「"),"」("),""),
  _xlpm.words,TRIM(_xlfn.TEXTSPLIT(O$3,",")),
  IF(SUM(--ISNUMBER(SEARCH(_xlpm.words,_xlpm.target)))&gt;0,"O","X")
)</f>
        <v>X</v>
      </c>
      <c r="P46" t="str" cm="1">
        <f t="array" ref="P46">_xlfn.LET(
  _xlpm.target,IFERROR(_xlfn.TEXTBEFORE(_xlfn.TEXTAFTER($F46,"：「"),"」("),""),
  _xlpm.words,TRIM(_xlfn.TEXTSPLIT(P$3,",")),
  IF(SUM(--ISNUMBER(SEARCH(_xlpm.words,_xlpm.target)))&gt;0,"O","X")
)</f>
        <v>O</v>
      </c>
      <c r="Q46" t="str" cm="1">
        <f t="array" ref="Q46">_xlfn.LET(
  _xlpm.target,IFERROR(_xlfn.TEXTBEFORE(_xlfn.TEXTAFTER($F46,"：「"),"」("),""),
  _xlpm.words,TRIM(_xlfn.TEXTSPLIT(Q$3,",")),
  IF(SUM(--ISNUMBER(SEARCH(_xlpm.words,_xlpm.target)))&gt;0,"O","X")
)</f>
        <v>X</v>
      </c>
      <c r="R46" t="str" cm="1">
        <f t="array" ref="R46">_xlfn.LET(
  _xlpm.target,IFERROR(_xlfn.TEXTBEFORE(_xlfn.TEXTAFTER($F46,"：「"),"」("),""),
  _xlpm.words,TRIM(_xlfn.TEXTSPLIT(R$3,",")),
  IF(SUM(--ISNUMBER(SEARCH(_xlpm.words,_xlpm.target)))&gt;0,"O","X")
)</f>
        <v>X</v>
      </c>
      <c r="S46" t="str" cm="1">
        <f t="array" ref="S46">_xlfn.LET(
  _xlpm.target,IFERROR(_xlfn.TEXTBEFORE(_xlfn.TEXTAFTER($F46,"：「"),"」("),""),
  _xlpm.words,TRIM(_xlfn.TEXTSPLIT(S$3,",")),
  IF(SUM(--ISNUMBER(SEARCH(_xlpm.words,_xlpm.target)))&gt;0,"O","X")
)</f>
        <v>X</v>
      </c>
      <c r="T46" t="str" cm="1">
        <f t="array" ref="T46">_xlfn.LET(
  _xlpm.target,IFERROR(_xlfn.TEXTBEFORE(_xlfn.TEXTAFTER($F46,"：「"),"」("),""),
  _xlpm.words,TRIM(_xlfn.TEXTSPLIT(T$3,",")),
  IF(SUM(--ISNUMBER(SEARCH(_xlpm.words,_xlpm.target)))&gt;0,"O","X")
)</f>
        <v>X</v>
      </c>
      <c r="U46" t="str" cm="1">
        <f t="array" ref="U46">_xlfn.LET(
  _xlpm.target,IFERROR(_xlfn.TEXTBEFORE(_xlfn.TEXTAFTER($F46,"：「"),"」("),""),
  _xlpm.words,TRIM(_xlfn.TEXTSPLIT(U$3,",")),
  IF(SUM(--ISNUMBER(SEARCH(_xlpm.words,_xlpm.target)))&gt;0,"O","X")
)</f>
        <v>X</v>
      </c>
      <c r="V46" t="str" cm="1">
        <f t="array" ref="V46">_xlfn.LET(
  _xlpm.target,IFERROR(_xlfn.TEXTBEFORE(_xlfn.TEXTAFTER($F46,"：「"),"」("),""),
  _xlpm.words,TRIM(_xlfn.TEXTSPLIT(V$3,",")),
  IF(SUM(--ISNUMBER(SEARCH(_xlpm.words,_xlpm.target)))&gt;0,"O","X")
)</f>
        <v>X</v>
      </c>
      <c r="W46" t="str" cm="1">
        <f t="array" ref="W46">_xlfn.LET(
  _xlpm.target,IFERROR(_xlfn.TEXTBEFORE(_xlfn.TEXTAFTER($F46,"：「"),"」("),""),
  _xlpm.words,TRIM(_xlfn.TEXTSPLIT(W$3,",")),
  IF(SUM(--ISNUMBER(SEARCH(_xlpm.words,_xlpm.target)))&gt;0,"O","X")
)</f>
        <v>X</v>
      </c>
      <c r="X46" t="str" cm="1">
        <f t="array" ref="X46">_xlfn.LET(
  _xlpm.target,IFERROR(_xlfn.TEXTBEFORE(_xlfn.TEXTAFTER($F46,"：「"),"」("),""),
  _xlpm.words,TRIM(_xlfn.TEXTSPLIT(X$3,",")),
  IF(SUM(--ISNUMBER(SEARCH(_xlpm.words,_xlpm.target)))&gt;0,"O","X")
)</f>
        <v>X</v>
      </c>
    </row>
    <row r="47" spans="1:24">
      <c r="A47">
        <v>44</v>
      </c>
      <c r="B47" t="s">
        <v>144</v>
      </c>
      <c r="C47" t="s">
        <v>145</v>
      </c>
      <c r="D47" t="s">
        <v>142</v>
      </c>
      <c r="E47" t="s">
        <v>146</v>
      </c>
      <c r="F47" t="s">
        <v>181</v>
      </c>
      <c r="G47">
        <f>(LEN(F47)-LEN(SUBSTITUTE(F47,"帝網","")))/LEN("帝網")
 +(LEN(F47)-LEN(SUBSTITUTE(F47,"帝釋網","")))/LEN("帝釋網")
 +(LEN(F47)-LEN(SUBSTITUTE(F47,"因陀羅網","")))/LEN("因陀羅網")</f>
        <v>1</v>
      </c>
      <c r="H47" t="str">
        <f>_xlfn.TEXTBEFORE(_xlfn.TEXTAFTER(F47,"p. "),")")</f>
        <v>515b19</v>
      </c>
      <c r="I47">
        <f>LEN(_xlfn.TEXTBEFORE(_xlfn.TEXTAFTER(F47,"：「"),"」(CBETA"))</f>
        <v>9</v>
      </c>
      <c r="J47" t="s">
        <v>199</v>
      </c>
      <c r="K47" s="3"/>
      <c r="L47" s="1" t="s">
        <v>123</v>
      </c>
      <c r="M47" s="1" t="s">
        <v>136</v>
      </c>
      <c r="N47" s="1" t="s">
        <v>115</v>
      </c>
      <c r="O47" t="str" cm="1">
        <f t="array" ref="O47">_xlfn.LET(
  _xlpm.target,IFERROR(_xlfn.TEXTBEFORE(_xlfn.TEXTAFTER($F47,"：「"),"」("),""),
  _xlpm.words,TRIM(_xlfn.TEXTSPLIT(O$3,",")),
  IF(SUM(--ISNUMBER(SEARCH(_xlpm.words,_xlpm.target)))&gt;0,"O","X")
)</f>
        <v>X</v>
      </c>
      <c r="P47" t="str" cm="1">
        <f t="array" ref="P47">_xlfn.LET(
  _xlpm.target,IFERROR(_xlfn.TEXTBEFORE(_xlfn.TEXTAFTER($F47,"：「"),"」("),""),
  _xlpm.words,TRIM(_xlfn.TEXTSPLIT(P$3,",")),
  IF(SUM(--ISNUMBER(SEARCH(_xlpm.words,_xlpm.target)))&gt;0,"O","X")
)</f>
        <v>X</v>
      </c>
      <c r="Q47" t="str" cm="1">
        <f t="array" ref="Q47">_xlfn.LET(
  _xlpm.target,IFERROR(_xlfn.TEXTBEFORE(_xlfn.TEXTAFTER($F47,"：「"),"」("),""),
  _xlpm.words,TRIM(_xlfn.TEXTSPLIT(Q$3,",")),
  IF(SUM(--ISNUMBER(SEARCH(_xlpm.words,_xlpm.target)))&gt;0,"O","X")
)</f>
        <v>X</v>
      </c>
      <c r="R47" t="str" cm="1">
        <f t="array" ref="R47">_xlfn.LET(
  _xlpm.target,IFERROR(_xlfn.TEXTBEFORE(_xlfn.TEXTAFTER($F47,"：「"),"」("),""),
  _xlpm.words,TRIM(_xlfn.TEXTSPLIT(R$3,",")),
  IF(SUM(--ISNUMBER(SEARCH(_xlpm.words,_xlpm.target)))&gt;0,"O","X")
)</f>
        <v>X</v>
      </c>
      <c r="S47" t="str" cm="1">
        <f t="array" ref="S47">_xlfn.LET(
  _xlpm.target,IFERROR(_xlfn.TEXTBEFORE(_xlfn.TEXTAFTER($F47,"：「"),"」("),""),
  _xlpm.words,TRIM(_xlfn.TEXTSPLIT(S$3,",")),
  IF(SUM(--ISNUMBER(SEARCH(_xlpm.words,_xlpm.target)))&gt;0,"O","X")
)</f>
        <v>X</v>
      </c>
      <c r="T47" t="str" cm="1">
        <f t="array" ref="T47">_xlfn.LET(
  _xlpm.target,IFERROR(_xlfn.TEXTBEFORE(_xlfn.TEXTAFTER($F47,"：「"),"」("),""),
  _xlpm.words,TRIM(_xlfn.TEXTSPLIT(T$3,",")),
  IF(SUM(--ISNUMBER(SEARCH(_xlpm.words,_xlpm.target)))&gt;0,"O","X")
)</f>
        <v>X</v>
      </c>
      <c r="U47" t="str" cm="1">
        <f t="array" ref="U47">_xlfn.LET(
  _xlpm.target,IFERROR(_xlfn.TEXTBEFORE(_xlfn.TEXTAFTER($F47,"：「"),"」("),""),
  _xlpm.words,TRIM(_xlfn.TEXTSPLIT(U$3,",")),
  IF(SUM(--ISNUMBER(SEARCH(_xlpm.words,_xlpm.target)))&gt;0,"O","X")
)</f>
        <v>O</v>
      </c>
      <c r="V47" t="str" cm="1">
        <f t="array" ref="V47">_xlfn.LET(
  _xlpm.target,IFERROR(_xlfn.TEXTBEFORE(_xlfn.TEXTAFTER($F47,"：「"),"」("),""),
  _xlpm.words,TRIM(_xlfn.TEXTSPLIT(V$3,",")),
  IF(SUM(--ISNUMBER(SEARCH(_xlpm.words,_xlpm.target)))&gt;0,"O","X")
)</f>
        <v>X</v>
      </c>
      <c r="W47" t="str" cm="1">
        <f t="array" ref="W47">_xlfn.LET(
  _xlpm.target,IFERROR(_xlfn.TEXTBEFORE(_xlfn.TEXTAFTER($F47,"：「"),"」("),""),
  _xlpm.words,TRIM(_xlfn.TEXTSPLIT(W$3,",")),
  IF(SUM(--ISNUMBER(SEARCH(_xlpm.words,_xlpm.target)))&gt;0,"O","X")
)</f>
        <v>X</v>
      </c>
      <c r="X47" t="str" cm="1">
        <f t="array" ref="X47">_xlfn.LET(
  _xlpm.target,IFERROR(_xlfn.TEXTBEFORE(_xlfn.TEXTAFTER($F47,"：「"),"」("),""),
  _xlpm.words,TRIM(_xlfn.TEXTSPLIT(X$3,",")),
  IF(SUM(--ISNUMBER(SEARCH(_xlpm.words,_xlpm.target)))&gt;0,"O","X")
)</f>
        <v>X</v>
      </c>
    </row>
    <row r="48" spans="1:24">
      <c r="A48">
        <v>45</v>
      </c>
      <c r="B48" t="s">
        <v>144</v>
      </c>
      <c r="C48" t="s">
        <v>145</v>
      </c>
      <c r="D48" t="s">
        <v>142</v>
      </c>
      <c r="E48" t="s">
        <v>146</v>
      </c>
      <c r="F48" t="s">
        <v>182</v>
      </c>
      <c r="G48">
        <f>(LEN(F48)-LEN(SUBSTITUTE(F48,"帝網","")))/LEN("帝網")
 +(LEN(F48)-LEN(SUBSTITUTE(F48,"帝釋網","")))/LEN("帝釋網")
 +(LEN(F48)-LEN(SUBSTITUTE(F48,"因陀羅網","")))/LEN("因陀羅網")</f>
        <v>1</v>
      </c>
      <c r="H48" t="str">
        <f>_xlfn.TEXTBEFORE(_xlfn.TEXTAFTER(F48,"p. "),")")</f>
        <v>516b6-8</v>
      </c>
      <c r="I48">
        <f>LEN(_xlfn.TEXTBEFORE(_xlfn.TEXTAFTER(F48,"：「"),"」(CBETA"))</f>
        <v>41</v>
      </c>
      <c r="J48" t="s">
        <v>197</v>
      </c>
      <c r="K48" s="3"/>
      <c r="L48" s="1" t="s">
        <v>123</v>
      </c>
      <c r="M48" s="1" t="s">
        <v>136</v>
      </c>
      <c r="N48" s="1" t="s">
        <v>115</v>
      </c>
      <c r="O48" t="str" cm="1">
        <f t="array" ref="O48">_xlfn.LET(
  _xlpm.target,IFERROR(_xlfn.TEXTBEFORE(_xlfn.TEXTAFTER($F48,"：「"),"」("),""),
  _xlpm.words,TRIM(_xlfn.TEXTSPLIT(O$3,",")),
  IF(SUM(--ISNUMBER(SEARCH(_xlpm.words,_xlpm.target)))&gt;0,"O","X")
)</f>
        <v>X</v>
      </c>
      <c r="P48" t="str" cm="1">
        <f t="array" ref="P48">_xlfn.LET(
  _xlpm.target,IFERROR(_xlfn.TEXTBEFORE(_xlfn.TEXTAFTER($F48,"：「"),"」("),""),
  _xlpm.words,TRIM(_xlfn.TEXTSPLIT(P$3,",")),
  IF(SUM(--ISNUMBER(SEARCH(_xlpm.words,_xlpm.target)))&gt;0,"O","X")
)</f>
        <v>X</v>
      </c>
      <c r="Q48" t="str" cm="1">
        <f t="array" ref="Q48">_xlfn.LET(
  _xlpm.target,IFERROR(_xlfn.TEXTBEFORE(_xlfn.TEXTAFTER($F48,"：「"),"」("),""),
  _xlpm.words,TRIM(_xlfn.TEXTSPLIT(Q$3,",")),
  IF(SUM(--ISNUMBER(SEARCH(_xlpm.words,_xlpm.target)))&gt;0,"O","X")
)</f>
        <v>X</v>
      </c>
      <c r="R48" t="str" cm="1">
        <f t="array" ref="R48">_xlfn.LET(
  _xlpm.target,IFERROR(_xlfn.TEXTBEFORE(_xlfn.TEXTAFTER($F48,"：「"),"」("),""),
  _xlpm.words,TRIM(_xlfn.TEXTSPLIT(R$3,",")),
  IF(SUM(--ISNUMBER(SEARCH(_xlpm.words,_xlpm.target)))&gt;0,"O","X")
)</f>
        <v>X</v>
      </c>
      <c r="S48" t="str" cm="1">
        <f t="array" ref="S48">_xlfn.LET(
  _xlpm.target,IFERROR(_xlfn.TEXTBEFORE(_xlfn.TEXTAFTER($F48,"：「"),"」("),""),
  _xlpm.words,TRIM(_xlfn.TEXTSPLIT(S$3,",")),
  IF(SUM(--ISNUMBER(SEARCH(_xlpm.words,_xlpm.target)))&gt;0,"O","X")
)</f>
        <v>X</v>
      </c>
      <c r="T48" t="str" cm="1">
        <f t="array" ref="T48">_xlfn.LET(
  _xlpm.target,IFERROR(_xlfn.TEXTBEFORE(_xlfn.TEXTAFTER($F48,"：「"),"」("),""),
  _xlpm.words,TRIM(_xlfn.TEXTSPLIT(T$3,",")),
  IF(SUM(--ISNUMBER(SEARCH(_xlpm.words,_xlpm.target)))&gt;0,"O","X")
)</f>
        <v>X</v>
      </c>
      <c r="U48" t="str" cm="1">
        <f t="array" ref="U48">_xlfn.LET(
  _xlpm.target,IFERROR(_xlfn.TEXTBEFORE(_xlfn.TEXTAFTER($F48,"：「"),"」("),""),
  _xlpm.words,TRIM(_xlfn.TEXTSPLIT(U$3,",")),
  IF(SUM(--ISNUMBER(SEARCH(_xlpm.words,_xlpm.target)))&gt;0,"O","X")
)</f>
        <v>O</v>
      </c>
      <c r="V48" t="str" cm="1">
        <f t="array" ref="V48">_xlfn.LET(
  _xlpm.target,IFERROR(_xlfn.TEXTBEFORE(_xlfn.TEXTAFTER($F48,"：「"),"」("),""),
  _xlpm.words,TRIM(_xlfn.TEXTSPLIT(V$3,",")),
  IF(SUM(--ISNUMBER(SEARCH(_xlpm.words,_xlpm.target)))&gt;0,"O","X")
)</f>
        <v>X</v>
      </c>
      <c r="W48" t="str" cm="1">
        <f t="array" ref="W48">_xlfn.LET(
  _xlpm.target,IFERROR(_xlfn.TEXTBEFORE(_xlfn.TEXTAFTER($F48,"：「"),"」("),""),
  _xlpm.words,TRIM(_xlfn.TEXTSPLIT(W$3,",")),
  IF(SUM(--ISNUMBER(SEARCH(_xlpm.words,_xlpm.target)))&gt;0,"O","X")
)</f>
        <v>X</v>
      </c>
      <c r="X48" t="str" cm="1">
        <f t="array" ref="X48">_xlfn.LET(
  _xlpm.target,IFERROR(_xlfn.TEXTBEFORE(_xlfn.TEXTAFTER($F48,"：「"),"」("),""),
  _xlpm.words,TRIM(_xlfn.TEXTSPLIT(X$3,",")),
  IF(SUM(--ISNUMBER(SEARCH(_xlpm.words,_xlpm.target)))&gt;0,"O","X")
)</f>
        <v>X</v>
      </c>
    </row>
    <row r="49" spans="1:24">
      <c r="A49">
        <v>46</v>
      </c>
      <c r="B49" t="s">
        <v>144</v>
      </c>
      <c r="C49" t="s">
        <v>145</v>
      </c>
      <c r="D49" t="s">
        <v>142</v>
      </c>
      <c r="E49" t="s">
        <v>146</v>
      </c>
      <c r="F49" t="s">
        <v>183</v>
      </c>
      <c r="G49">
        <f>(LEN(F49)-LEN(SUBSTITUTE(F49,"帝網","")))/LEN("帝網")
 +(LEN(F49)-LEN(SUBSTITUTE(F49,"帝釋網","")))/LEN("帝釋網")
 +(LEN(F49)-LEN(SUBSTITUTE(F49,"因陀羅網","")))/LEN("因陀羅網")</f>
        <v>3</v>
      </c>
      <c r="H49" t="str">
        <f>_xlfn.TEXTBEFORE(_xlfn.TEXTAFTER(F49,"p. "),")")</f>
        <v>516b8-c6</v>
      </c>
      <c r="I49">
        <f>LEN(_xlfn.TEXTBEFORE(_xlfn.TEXTAFTER(F49,"：「"),"」(CBETA"))</f>
        <v>517</v>
      </c>
      <c r="J49" t="s">
        <v>197</v>
      </c>
      <c r="K49" s="3"/>
      <c r="L49" s="1" t="s">
        <v>123</v>
      </c>
      <c r="M49" s="1" t="s">
        <v>136</v>
      </c>
      <c r="N49" s="1" t="s">
        <v>115</v>
      </c>
      <c r="O49" t="str" cm="1">
        <f t="array" ref="O49">_xlfn.LET(
  _xlpm.target,IFERROR(_xlfn.TEXTBEFORE(_xlfn.TEXTAFTER($F49,"：「"),"」("),""),
  _xlpm.words,TRIM(_xlfn.TEXTSPLIT(O$3,",")),
  IF(SUM(--ISNUMBER(SEARCH(_xlpm.words,_xlpm.target)))&gt;0,"O","X")
)</f>
        <v>X</v>
      </c>
      <c r="P49" t="str" cm="1">
        <f t="array" ref="P49">_xlfn.LET(
  _xlpm.target,IFERROR(_xlfn.TEXTBEFORE(_xlfn.TEXTAFTER($F49,"：「"),"」("),""),
  _xlpm.words,TRIM(_xlfn.TEXTSPLIT(P$3,",")),
  IF(SUM(--ISNUMBER(SEARCH(_xlpm.words,_xlpm.target)))&gt;0,"O","X")
)</f>
        <v>O</v>
      </c>
      <c r="Q49" t="str" cm="1">
        <f t="array" ref="Q49">_xlfn.LET(
  _xlpm.target,IFERROR(_xlfn.TEXTBEFORE(_xlfn.TEXTAFTER($F49,"：「"),"」("),""),
  _xlpm.words,TRIM(_xlfn.TEXTSPLIT(Q$3,",")),
  IF(SUM(--ISNUMBER(SEARCH(_xlpm.words,_xlpm.target)))&gt;0,"O","X")
)</f>
        <v>O</v>
      </c>
      <c r="R49" t="str" cm="1">
        <f t="array" ref="R49">_xlfn.LET(
  _xlpm.target,IFERROR(_xlfn.TEXTBEFORE(_xlfn.TEXTAFTER($F49,"：「"),"」("),""),
  _xlpm.words,TRIM(_xlfn.TEXTSPLIT(R$3,",")),
  IF(SUM(--ISNUMBER(SEARCH(_xlpm.words,_xlpm.target)))&gt;0,"O","X")
)</f>
        <v>O</v>
      </c>
      <c r="S49" t="str" cm="1">
        <f t="array" ref="S49">_xlfn.LET(
  _xlpm.target,IFERROR(_xlfn.TEXTBEFORE(_xlfn.TEXTAFTER($F49,"：「"),"」("),""),
  _xlpm.words,TRIM(_xlfn.TEXTSPLIT(S$3,",")),
  IF(SUM(--ISNUMBER(SEARCH(_xlpm.words,_xlpm.target)))&gt;0,"O","X")
)</f>
        <v>X</v>
      </c>
      <c r="T49" t="str" cm="1">
        <f t="array" ref="T49">_xlfn.LET(
  _xlpm.target,IFERROR(_xlfn.TEXTBEFORE(_xlfn.TEXTAFTER($F49,"：「"),"」("),""),
  _xlpm.words,TRIM(_xlfn.TEXTSPLIT(T$3,",")),
  IF(SUM(--ISNUMBER(SEARCH(_xlpm.words,_xlpm.target)))&gt;0,"O","X")
)</f>
        <v>X</v>
      </c>
      <c r="U49" t="str" cm="1">
        <f t="array" ref="U49">_xlfn.LET(
  _xlpm.target,IFERROR(_xlfn.TEXTBEFORE(_xlfn.TEXTAFTER($F49,"：「"),"」("),""),
  _xlpm.words,TRIM(_xlfn.TEXTSPLIT(U$3,",")),
  IF(SUM(--ISNUMBER(SEARCH(_xlpm.words,_xlpm.target)))&gt;0,"O","X")
)</f>
        <v>O</v>
      </c>
      <c r="V49" t="str" cm="1">
        <f t="array" ref="V49">_xlfn.LET(
  _xlpm.target,IFERROR(_xlfn.TEXTBEFORE(_xlfn.TEXTAFTER($F49,"：「"),"」("),""),
  _xlpm.words,TRIM(_xlfn.TEXTSPLIT(V$3,",")),
  IF(SUM(--ISNUMBER(SEARCH(_xlpm.words,_xlpm.target)))&gt;0,"O","X")
)</f>
        <v>O</v>
      </c>
      <c r="W49" t="str" cm="1">
        <f t="array" ref="W49">_xlfn.LET(
  _xlpm.target,IFERROR(_xlfn.TEXTBEFORE(_xlfn.TEXTAFTER($F49,"：「"),"」("),""),
  _xlpm.words,TRIM(_xlfn.TEXTSPLIT(W$3,",")),
  IF(SUM(--ISNUMBER(SEARCH(_xlpm.words,_xlpm.target)))&gt;0,"O","X")
)</f>
        <v>X</v>
      </c>
      <c r="X49" t="str" cm="1">
        <f t="array" ref="X49">_xlfn.LET(
  _xlpm.target,IFERROR(_xlfn.TEXTBEFORE(_xlfn.TEXTAFTER($F49,"：「"),"」("),""),
  _xlpm.words,TRIM(_xlfn.TEXTSPLIT(X$3,",")),
  IF(SUM(--ISNUMBER(SEARCH(_xlpm.words,_xlpm.target)))&gt;0,"O","X")
)</f>
        <v>O</v>
      </c>
    </row>
    <row r="50" spans="1:24">
      <c r="A50">
        <v>47</v>
      </c>
      <c r="B50" t="s">
        <v>144</v>
      </c>
      <c r="C50" t="s">
        <v>145</v>
      </c>
      <c r="D50" t="s">
        <v>142</v>
      </c>
      <c r="E50" t="s">
        <v>146</v>
      </c>
      <c r="F50" t="s">
        <v>236</v>
      </c>
      <c r="G50">
        <f>(LEN(F50)-LEN(SUBSTITUTE(F50,"帝網","")))/LEN("帝網")
 +(LEN(F50)-LEN(SUBSTITUTE(F50,"帝釋網","")))/LEN("帝釋網")
 +(LEN(F50)-LEN(SUBSTITUTE(F50,"因陀羅網","")))/LEN("因陀羅網")</f>
        <v>2</v>
      </c>
      <c r="H50" t="str">
        <f>_xlfn.TEXTBEFORE(_xlfn.TEXTAFTER(F50,"p. "),")")</f>
        <v>517a3-7</v>
      </c>
      <c r="I50">
        <f>LEN(_xlfn.TEXTBEFORE(_xlfn.TEXTAFTER(F50,"：「"),"」(CBETA"))</f>
        <v>69</v>
      </c>
      <c r="J50" t="s">
        <v>197</v>
      </c>
      <c r="K50" s="3"/>
      <c r="L50" s="1" t="s">
        <v>123</v>
      </c>
      <c r="M50" s="1" t="s">
        <v>136</v>
      </c>
      <c r="N50" s="1" t="s">
        <v>115</v>
      </c>
      <c r="O50" t="str" cm="1">
        <f t="array" ref="O50">_xlfn.LET(
  _xlpm.target,IFERROR(_xlfn.TEXTBEFORE(_xlfn.TEXTAFTER($F50,"：「"),"」("),""),
  _xlpm.words,TRIM(_xlfn.TEXTSPLIT(O$3,",")),
  IF(SUM(--ISNUMBER(SEARCH(_xlpm.words,_xlpm.target)))&gt;0,"O","X")
)</f>
        <v>X</v>
      </c>
      <c r="P50" t="str" cm="1">
        <f t="array" ref="P50">_xlfn.LET(
  _xlpm.target,IFERROR(_xlfn.TEXTBEFORE(_xlfn.TEXTAFTER($F50,"：「"),"」("),""),
  _xlpm.words,TRIM(_xlfn.TEXTSPLIT(P$3,",")),
  IF(SUM(--ISNUMBER(SEARCH(_xlpm.words,_xlpm.target)))&gt;0,"O","X")
)</f>
        <v>X</v>
      </c>
      <c r="Q50" t="str" cm="1">
        <f t="array" ref="Q50">_xlfn.LET(
  _xlpm.target,IFERROR(_xlfn.TEXTBEFORE(_xlfn.TEXTAFTER($F50,"：「"),"」("),""),
  _xlpm.words,TRIM(_xlfn.TEXTSPLIT(Q$3,",")),
  IF(SUM(--ISNUMBER(SEARCH(_xlpm.words,_xlpm.target)))&gt;0,"O","X")
)</f>
        <v>X</v>
      </c>
      <c r="R50" t="str" cm="1">
        <f t="array" ref="R50">_xlfn.LET(
  _xlpm.target,IFERROR(_xlfn.TEXTBEFORE(_xlfn.TEXTAFTER($F50,"：「"),"」("),""),
  _xlpm.words,TRIM(_xlfn.TEXTSPLIT(R$3,",")),
  IF(SUM(--ISNUMBER(SEARCH(_xlpm.words,_xlpm.target)))&gt;0,"O","X")
)</f>
        <v>X</v>
      </c>
      <c r="S50" t="str" cm="1">
        <f t="array" ref="S50">_xlfn.LET(
  _xlpm.target,IFERROR(_xlfn.TEXTBEFORE(_xlfn.TEXTAFTER($F50,"：「"),"」("),""),
  _xlpm.words,TRIM(_xlfn.TEXTSPLIT(S$3,",")),
  IF(SUM(--ISNUMBER(SEARCH(_xlpm.words,_xlpm.target)))&gt;0,"O","X")
)</f>
        <v>X</v>
      </c>
      <c r="T50" t="str" cm="1">
        <f t="array" ref="T50">_xlfn.LET(
  _xlpm.target,IFERROR(_xlfn.TEXTBEFORE(_xlfn.TEXTAFTER($F50,"：「"),"」("),""),
  _xlpm.words,TRIM(_xlfn.TEXTSPLIT(T$3,",")),
  IF(SUM(--ISNUMBER(SEARCH(_xlpm.words,_xlpm.target)))&gt;0,"O","X")
)</f>
        <v>O</v>
      </c>
      <c r="U50" t="str" cm="1">
        <f t="array" ref="U50">_xlfn.LET(
  _xlpm.target,IFERROR(_xlfn.TEXTBEFORE(_xlfn.TEXTAFTER($F50,"：「"),"」("),""),
  _xlpm.words,TRIM(_xlfn.TEXTSPLIT(U$3,",")),
  IF(SUM(--ISNUMBER(SEARCH(_xlpm.words,_xlpm.target)))&gt;0,"O","X")
)</f>
        <v>X</v>
      </c>
      <c r="V50" t="str" cm="1">
        <f t="array" ref="V50">_xlfn.LET(
  _xlpm.target,IFERROR(_xlfn.TEXTBEFORE(_xlfn.TEXTAFTER($F50,"：「"),"」("),""),
  _xlpm.words,TRIM(_xlfn.TEXTSPLIT(V$3,",")),
  IF(SUM(--ISNUMBER(SEARCH(_xlpm.words,_xlpm.target)))&gt;0,"O","X")
)</f>
        <v>X</v>
      </c>
      <c r="W50" t="str" cm="1">
        <f t="array" ref="W50">_xlfn.LET(
  _xlpm.target,IFERROR(_xlfn.TEXTBEFORE(_xlfn.TEXTAFTER($F50,"：「"),"」("),""),
  _xlpm.words,TRIM(_xlfn.TEXTSPLIT(W$3,",")),
  IF(SUM(--ISNUMBER(SEARCH(_xlpm.words,_xlpm.target)))&gt;0,"O","X")
)</f>
        <v>X</v>
      </c>
      <c r="X50" t="str" cm="1">
        <f t="array" ref="X50">_xlfn.LET(
  _xlpm.target,IFERROR(_xlfn.TEXTBEFORE(_xlfn.TEXTAFTER($F50,"：「"),"」("),""),
  _xlpm.words,TRIM(_xlfn.TEXTSPLIT(X$3,",")),
  IF(SUM(--ISNUMBER(SEARCH(_xlpm.words,_xlpm.target)))&gt;0,"O","X")
)</f>
        <v>X</v>
      </c>
    </row>
    <row r="51" spans="1:24">
      <c r="A51">
        <v>48</v>
      </c>
      <c r="B51" t="s">
        <v>144</v>
      </c>
      <c r="C51" t="s">
        <v>145</v>
      </c>
      <c r="D51" t="s">
        <v>142</v>
      </c>
      <c r="E51" t="s">
        <v>146</v>
      </c>
      <c r="F51" t="s">
        <v>184</v>
      </c>
      <c r="G51">
        <f>(LEN(F51)-LEN(SUBSTITUTE(F51,"帝網","")))/LEN("帝網")
 +(LEN(F51)-LEN(SUBSTITUTE(F51,"帝釋網","")))/LEN("帝釋網")
 +(LEN(F51)-LEN(SUBSTITUTE(F51,"因陀羅網","")))/LEN("因陀羅網")</f>
        <v>1</v>
      </c>
      <c r="H51" t="str">
        <f>_xlfn.TEXTBEFORE(_xlfn.TEXTAFTER(F51,"p. "),")")</f>
        <v>517b28-c1</v>
      </c>
      <c r="I51">
        <f>LEN(_xlfn.TEXTBEFORE(_xlfn.TEXTAFTER(F51,"：「"),"」(CBETA"))</f>
        <v>35</v>
      </c>
      <c r="J51" t="s">
        <v>197</v>
      </c>
      <c r="K51" s="3"/>
      <c r="L51" s="1" t="s">
        <v>123</v>
      </c>
      <c r="M51" s="1" t="s">
        <v>136</v>
      </c>
      <c r="N51" s="1" t="s">
        <v>115</v>
      </c>
      <c r="O51" t="str" cm="1">
        <f t="array" ref="O51">_xlfn.LET(
  _xlpm.target,IFERROR(_xlfn.TEXTBEFORE(_xlfn.TEXTAFTER($F51,"：「"),"」("),""),
  _xlpm.words,TRIM(_xlfn.TEXTSPLIT(O$3,",")),
  IF(SUM(--ISNUMBER(SEARCH(_xlpm.words,_xlpm.target)))&gt;0,"O","X")
)</f>
        <v>X</v>
      </c>
      <c r="P51" t="str" cm="1">
        <f t="array" ref="P51">_xlfn.LET(
  _xlpm.target,IFERROR(_xlfn.TEXTBEFORE(_xlfn.TEXTAFTER($F51,"：「"),"」("),""),
  _xlpm.words,TRIM(_xlfn.TEXTSPLIT(P$3,",")),
  IF(SUM(--ISNUMBER(SEARCH(_xlpm.words,_xlpm.target)))&gt;0,"O","X")
)</f>
        <v>O</v>
      </c>
      <c r="Q51" t="str" cm="1">
        <f t="array" ref="Q51">_xlfn.LET(
  _xlpm.target,IFERROR(_xlfn.TEXTBEFORE(_xlfn.TEXTAFTER($F51,"：「"),"」("),""),
  _xlpm.words,TRIM(_xlfn.TEXTSPLIT(Q$3,",")),
  IF(SUM(--ISNUMBER(SEARCH(_xlpm.words,_xlpm.target)))&gt;0,"O","X")
)</f>
        <v>X</v>
      </c>
      <c r="R51" t="str" cm="1">
        <f t="array" ref="R51">_xlfn.LET(
  _xlpm.target,IFERROR(_xlfn.TEXTBEFORE(_xlfn.TEXTAFTER($F51,"：「"),"」("),""),
  _xlpm.words,TRIM(_xlfn.TEXTSPLIT(R$3,",")),
  IF(SUM(--ISNUMBER(SEARCH(_xlpm.words,_xlpm.target)))&gt;0,"O","X")
)</f>
        <v>X</v>
      </c>
      <c r="S51" t="str" cm="1">
        <f t="array" ref="S51">_xlfn.LET(
  _xlpm.target,IFERROR(_xlfn.TEXTBEFORE(_xlfn.TEXTAFTER($F51,"：「"),"」("),""),
  _xlpm.words,TRIM(_xlfn.TEXTSPLIT(S$3,",")),
  IF(SUM(--ISNUMBER(SEARCH(_xlpm.words,_xlpm.target)))&gt;0,"O","X")
)</f>
        <v>X</v>
      </c>
      <c r="T51" t="str" cm="1">
        <f t="array" ref="T51">_xlfn.LET(
  _xlpm.target,IFERROR(_xlfn.TEXTBEFORE(_xlfn.TEXTAFTER($F51,"：「"),"」("),""),
  _xlpm.words,TRIM(_xlfn.TEXTSPLIT(T$3,",")),
  IF(SUM(--ISNUMBER(SEARCH(_xlpm.words,_xlpm.target)))&gt;0,"O","X")
)</f>
        <v>X</v>
      </c>
      <c r="U51" t="str" cm="1">
        <f t="array" ref="U51">_xlfn.LET(
  _xlpm.target,IFERROR(_xlfn.TEXTBEFORE(_xlfn.TEXTAFTER($F51,"：「"),"」("),""),
  _xlpm.words,TRIM(_xlfn.TEXTSPLIT(U$3,",")),
  IF(SUM(--ISNUMBER(SEARCH(_xlpm.words,_xlpm.target)))&gt;0,"O","X")
)</f>
        <v>X</v>
      </c>
      <c r="V51" t="str" cm="1">
        <f t="array" ref="V51">_xlfn.LET(
  _xlpm.target,IFERROR(_xlfn.TEXTBEFORE(_xlfn.TEXTAFTER($F51,"：「"),"」("),""),
  _xlpm.words,TRIM(_xlfn.TEXTSPLIT(V$3,",")),
  IF(SUM(--ISNUMBER(SEARCH(_xlpm.words,_xlpm.target)))&gt;0,"O","X")
)</f>
        <v>X</v>
      </c>
      <c r="W51" t="str" cm="1">
        <f t="array" ref="W51">_xlfn.LET(
  _xlpm.target,IFERROR(_xlfn.TEXTBEFORE(_xlfn.TEXTAFTER($F51,"：「"),"」("),""),
  _xlpm.words,TRIM(_xlfn.TEXTSPLIT(W$3,",")),
  IF(SUM(--ISNUMBER(SEARCH(_xlpm.words,_xlpm.target)))&gt;0,"O","X")
)</f>
        <v>X</v>
      </c>
      <c r="X51" t="str" cm="1">
        <f t="array" ref="X51">_xlfn.LET(
  _xlpm.target,IFERROR(_xlfn.TEXTBEFORE(_xlfn.TEXTAFTER($F51,"：「"),"」("),""),
  _xlpm.words,TRIM(_xlfn.TEXTSPLIT(X$3,",")),
  IF(SUM(--ISNUMBER(SEARCH(_xlpm.words,_xlpm.target)))&gt;0,"O","X")
)</f>
        <v>X</v>
      </c>
    </row>
    <row r="52" spans="1:24">
      <c r="A52">
        <v>49</v>
      </c>
      <c r="B52" t="s">
        <v>144</v>
      </c>
      <c r="C52" t="s">
        <v>145</v>
      </c>
      <c r="D52" t="s">
        <v>142</v>
      </c>
      <c r="E52" t="s">
        <v>146</v>
      </c>
      <c r="F52" t="s">
        <v>185</v>
      </c>
      <c r="G52">
        <f>(LEN(F52)-LEN(SUBSTITUTE(F52,"帝網","")))/LEN("帝網")
 +(LEN(F52)-LEN(SUBSTITUTE(F52,"帝釋網","")))/LEN("帝釋網")
 +(LEN(F52)-LEN(SUBSTITUTE(F52,"因陀羅網","")))/LEN("因陀羅網")</f>
        <v>1</v>
      </c>
      <c r="H52" t="str">
        <f>_xlfn.TEXTBEFORE(_xlfn.TEXTAFTER(F52,"p. "),")")</f>
        <v>517c2-3</v>
      </c>
      <c r="I52">
        <f>LEN(_xlfn.TEXTBEFORE(_xlfn.TEXTAFTER(F52,"：「"),"」(CBETA"))</f>
        <v>31</v>
      </c>
      <c r="J52" t="s">
        <v>197</v>
      </c>
      <c r="K52" s="3"/>
      <c r="L52" s="1" t="s">
        <v>123</v>
      </c>
      <c r="M52" s="1" t="s">
        <v>136</v>
      </c>
      <c r="N52" s="1" t="s">
        <v>115</v>
      </c>
      <c r="O52" t="str" cm="1">
        <f t="array" ref="O52">_xlfn.LET(
  _xlpm.target,IFERROR(_xlfn.TEXTBEFORE(_xlfn.TEXTAFTER($F52,"：「"),"」("),""),
  _xlpm.words,TRIM(_xlfn.TEXTSPLIT(O$3,",")),
  IF(SUM(--ISNUMBER(SEARCH(_xlpm.words,_xlpm.target)))&gt;0,"O","X")
)</f>
        <v>X</v>
      </c>
      <c r="P52" t="str" cm="1">
        <f t="array" ref="P52">_xlfn.LET(
  _xlpm.target,IFERROR(_xlfn.TEXTBEFORE(_xlfn.TEXTAFTER($F52,"：「"),"」("),""),
  _xlpm.words,TRIM(_xlfn.TEXTSPLIT(P$3,",")),
  IF(SUM(--ISNUMBER(SEARCH(_xlpm.words,_xlpm.target)))&gt;0,"O","X")
)</f>
        <v>X</v>
      </c>
      <c r="Q52" t="str" cm="1">
        <f t="array" ref="Q52">_xlfn.LET(
  _xlpm.target,IFERROR(_xlfn.TEXTBEFORE(_xlfn.TEXTAFTER($F52,"：「"),"」("),""),
  _xlpm.words,TRIM(_xlfn.TEXTSPLIT(Q$3,",")),
  IF(SUM(--ISNUMBER(SEARCH(_xlpm.words,_xlpm.target)))&gt;0,"O","X")
)</f>
        <v>X</v>
      </c>
      <c r="R52" t="str" cm="1">
        <f t="array" ref="R52">_xlfn.LET(
  _xlpm.target,IFERROR(_xlfn.TEXTBEFORE(_xlfn.TEXTAFTER($F52,"：「"),"」("),""),
  _xlpm.words,TRIM(_xlfn.TEXTSPLIT(R$3,",")),
  IF(SUM(--ISNUMBER(SEARCH(_xlpm.words,_xlpm.target)))&gt;0,"O","X")
)</f>
        <v>X</v>
      </c>
      <c r="S52" t="str" cm="1">
        <f t="array" ref="S52">_xlfn.LET(
  _xlpm.target,IFERROR(_xlfn.TEXTBEFORE(_xlfn.TEXTAFTER($F52,"：「"),"」("),""),
  _xlpm.words,TRIM(_xlfn.TEXTSPLIT(S$3,",")),
  IF(SUM(--ISNUMBER(SEARCH(_xlpm.words,_xlpm.target)))&gt;0,"O","X")
)</f>
        <v>X</v>
      </c>
      <c r="T52" t="str" cm="1">
        <f t="array" ref="T52">_xlfn.LET(
  _xlpm.target,IFERROR(_xlfn.TEXTBEFORE(_xlfn.TEXTAFTER($F52,"：「"),"」("),""),
  _xlpm.words,TRIM(_xlfn.TEXTSPLIT(T$3,",")),
  IF(SUM(--ISNUMBER(SEARCH(_xlpm.words,_xlpm.target)))&gt;0,"O","X")
)</f>
        <v>X</v>
      </c>
      <c r="U52" t="str" cm="1">
        <f t="array" ref="U52">_xlfn.LET(
  _xlpm.target,IFERROR(_xlfn.TEXTBEFORE(_xlfn.TEXTAFTER($F52,"：「"),"」("),""),
  _xlpm.words,TRIM(_xlfn.TEXTSPLIT(U$3,",")),
  IF(SUM(--ISNUMBER(SEARCH(_xlpm.words,_xlpm.target)))&gt;0,"O","X")
)</f>
        <v>X</v>
      </c>
      <c r="V52" t="str" cm="1">
        <f t="array" ref="V52">_xlfn.LET(
  _xlpm.target,IFERROR(_xlfn.TEXTBEFORE(_xlfn.TEXTAFTER($F52,"：「"),"」("),""),
  _xlpm.words,TRIM(_xlfn.TEXTSPLIT(V$3,",")),
  IF(SUM(--ISNUMBER(SEARCH(_xlpm.words,_xlpm.target)))&gt;0,"O","X")
)</f>
        <v>X</v>
      </c>
      <c r="W52" t="str" cm="1">
        <f t="array" ref="W52">_xlfn.LET(
  _xlpm.target,IFERROR(_xlfn.TEXTBEFORE(_xlfn.TEXTAFTER($F52,"：「"),"」("),""),
  _xlpm.words,TRIM(_xlfn.TEXTSPLIT(W$3,",")),
  IF(SUM(--ISNUMBER(SEARCH(_xlpm.words,_xlpm.target)))&gt;0,"O","X")
)</f>
        <v>X</v>
      </c>
      <c r="X52" t="str" cm="1">
        <f t="array" ref="X52">_xlfn.LET(
  _xlpm.target,IFERROR(_xlfn.TEXTBEFORE(_xlfn.TEXTAFTER($F52,"：「"),"」("),""),
  _xlpm.words,TRIM(_xlfn.TEXTSPLIT(X$3,",")),
  IF(SUM(--ISNUMBER(SEARCH(_xlpm.words,_xlpm.target)))&gt;0,"O","X")
)</f>
        <v>X</v>
      </c>
    </row>
    <row r="53" spans="1:24">
      <c r="A53">
        <v>50</v>
      </c>
      <c r="B53" t="s">
        <v>151</v>
      </c>
      <c r="C53" t="s">
        <v>152</v>
      </c>
      <c r="D53" t="s">
        <v>153</v>
      </c>
      <c r="E53" t="s">
        <v>154</v>
      </c>
      <c r="F53" t="s">
        <v>186</v>
      </c>
      <c r="G53">
        <f>(LEN(F53)-LEN(SUBSTITUTE(F53,"帝網","")))/LEN("帝網")
 +(LEN(F53)-LEN(SUBSTITUTE(F53,"帝釋網","")))/LEN("帝釋網")
 +(LEN(F53)-LEN(SUBSTITUTE(F53,"因陀羅網","")))/LEN("因陀羅網")</f>
        <v>1</v>
      </c>
      <c r="H53" t="str">
        <f>_xlfn.TEXTBEFORE(_xlfn.TEXTAFTER(F53,"p. "),")")</f>
        <v>596c12</v>
      </c>
      <c r="I53">
        <f>LEN(_xlfn.TEXTBEFORE(_xlfn.TEXTAFTER(F53,"：「"),"」(CBETA"))</f>
        <v>7</v>
      </c>
      <c r="J53" t="s">
        <v>200</v>
      </c>
      <c r="K53" s="4" t="s">
        <v>247</v>
      </c>
      <c r="L53" s="1" t="s">
        <v>210</v>
      </c>
      <c r="M53" s="1" t="s">
        <v>136</v>
      </c>
      <c r="N53" s="1" t="s">
        <v>216</v>
      </c>
      <c r="O53" t="str" cm="1">
        <f t="array" ref="O53">_xlfn.LET(
  _xlpm.target,IFERROR(_xlfn.TEXTBEFORE(_xlfn.TEXTAFTER($F53,"：「"),"」("),""),
  _xlpm.words,TRIM(_xlfn.TEXTSPLIT(O$3,",")),
  IF(SUM(--ISNUMBER(SEARCH(_xlpm.words,_xlpm.target)))&gt;0,"O","X")
)</f>
        <v>X</v>
      </c>
      <c r="P53" t="str" cm="1">
        <f t="array" ref="P53">_xlfn.LET(
  _xlpm.target,IFERROR(_xlfn.TEXTBEFORE(_xlfn.TEXTAFTER($F53,"：「"),"」("),""),
  _xlpm.words,TRIM(_xlfn.TEXTSPLIT(P$3,",")),
  IF(SUM(--ISNUMBER(SEARCH(_xlpm.words,_xlpm.target)))&gt;0,"O","X")
)</f>
        <v>X</v>
      </c>
      <c r="Q53" t="str" cm="1">
        <f t="array" ref="Q53">_xlfn.LET(
  _xlpm.target,IFERROR(_xlfn.TEXTBEFORE(_xlfn.TEXTAFTER($F53,"：「"),"」("),""),
  _xlpm.words,TRIM(_xlfn.TEXTSPLIT(Q$3,",")),
  IF(SUM(--ISNUMBER(SEARCH(_xlpm.words,_xlpm.target)))&gt;0,"O","X")
)</f>
        <v>X</v>
      </c>
      <c r="R53" t="str" cm="1">
        <f t="array" ref="R53">_xlfn.LET(
  _xlpm.target,IFERROR(_xlfn.TEXTBEFORE(_xlfn.TEXTAFTER($F53,"：「"),"」("),""),
  _xlpm.words,TRIM(_xlfn.TEXTSPLIT(R$3,",")),
  IF(SUM(--ISNUMBER(SEARCH(_xlpm.words,_xlpm.target)))&gt;0,"O","X")
)</f>
        <v>X</v>
      </c>
      <c r="S53" t="str" cm="1">
        <f t="array" ref="S53">_xlfn.LET(
  _xlpm.target,IFERROR(_xlfn.TEXTBEFORE(_xlfn.TEXTAFTER($F53,"：「"),"」("),""),
  _xlpm.words,TRIM(_xlfn.TEXTSPLIT(S$3,",")),
  IF(SUM(--ISNUMBER(SEARCH(_xlpm.words,_xlpm.target)))&gt;0,"O","X")
)</f>
        <v>X</v>
      </c>
      <c r="T53" t="str" cm="1">
        <f t="array" ref="T53">_xlfn.LET(
  _xlpm.target,IFERROR(_xlfn.TEXTBEFORE(_xlfn.TEXTAFTER($F53,"：「"),"」("),""),
  _xlpm.words,TRIM(_xlfn.TEXTSPLIT(T$3,",")),
  IF(SUM(--ISNUMBER(SEARCH(_xlpm.words,_xlpm.target)))&gt;0,"O","X")
)</f>
        <v>X</v>
      </c>
      <c r="U53" t="str" cm="1">
        <f t="array" ref="U53">_xlfn.LET(
  _xlpm.target,IFERROR(_xlfn.TEXTBEFORE(_xlfn.TEXTAFTER($F53,"：「"),"」("),""),
  _xlpm.words,TRIM(_xlfn.TEXTSPLIT(U$3,",")),
  IF(SUM(--ISNUMBER(SEARCH(_xlpm.words,_xlpm.target)))&gt;0,"O","X")
)</f>
        <v>X</v>
      </c>
      <c r="V53" t="str" cm="1">
        <f t="array" ref="V53">_xlfn.LET(
  _xlpm.target,IFERROR(_xlfn.TEXTBEFORE(_xlfn.TEXTAFTER($F53,"：「"),"」("),""),
  _xlpm.words,TRIM(_xlfn.TEXTSPLIT(V$3,",")),
  IF(SUM(--ISNUMBER(SEARCH(_xlpm.words,_xlpm.target)))&gt;0,"O","X")
)</f>
        <v>X</v>
      </c>
      <c r="W53" t="str" cm="1">
        <f t="array" ref="W53">_xlfn.LET(
  _xlpm.target,IFERROR(_xlfn.TEXTBEFORE(_xlfn.TEXTAFTER($F53,"：「"),"」("),""),
  _xlpm.words,TRIM(_xlfn.TEXTSPLIT(W$3,",")),
  IF(SUM(--ISNUMBER(SEARCH(_xlpm.words,_xlpm.target)))&gt;0,"O","X")
)</f>
        <v>X</v>
      </c>
      <c r="X53" t="str" cm="1">
        <f t="array" ref="X53">_xlfn.LET(
  _xlpm.target,IFERROR(_xlfn.TEXTBEFORE(_xlfn.TEXTAFTER($F53,"：「"),"」("),""),
  _xlpm.words,TRIM(_xlfn.TEXTSPLIT(X$3,",")),
  IF(SUM(--ISNUMBER(SEARCH(_xlpm.words,_xlpm.target)))&gt;0,"O","X")
)</f>
        <v>X</v>
      </c>
    </row>
    <row r="54" spans="1:24">
      <c r="A54">
        <v>51</v>
      </c>
      <c r="B54" t="s">
        <v>155</v>
      </c>
      <c r="C54" t="s">
        <v>156</v>
      </c>
      <c r="D54" t="s">
        <v>157</v>
      </c>
      <c r="E54" t="s">
        <v>158</v>
      </c>
      <c r="F54" t="s">
        <v>187</v>
      </c>
      <c r="G54">
        <f>(LEN(F54)-LEN(SUBSTITUTE(F54,"帝網","")))/LEN("帝網")
 +(LEN(F54)-LEN(SUBSTITUTE(F54,"帝釋網","")))/LEN("帝釋網")
 +(LEN(F54)-LEN(SUBSTITUTE(F54,"因陀羅網","")))/LEN("因陀羅網")</f>
        <v>1</v>
      </c>
      <c r="H54" t="str">
        <f>_xlfn.TEXTBEFORE(_xlfn.TEXTAFTER(F54,"p. "),")")</f>
        <v>558a14</v>
      </c>
      <c r="I54">
        <f>LEN(_xlfn.TEXTBEFORE(_xlfn.TEXTAFTER(F54,"：「"),"」(CBETA"))</f>
        <v>4</v>
      </c>
      <c r="J54" t="s">
        <v>199</v>
      </c>
      <c r="K54" s="3"/>
      <c r="L54" s="1" t="s">
        <v>211</v>
      </c>
      <c r="M54" s="1" t="s">
        <v>135</v>
      </c>
      <c r="N54" s="1" t="s">
        <v>213</v>
      </c>
      <c r="O54" t="str" cm="1">
        <f t="array" ref="O54">_xlfn.LET(
  _xlpm.target,IFERROR(_xlfn.TEXTBEFORE(_xlfn.TEXTAFTER($F54,"：「"),"」("),""),
  _xlpm.words,TRIM(_xlfn.TEXTSPLIT(O$3,",")),
  IF(SUM(--ISNUMBER(SEARCH(_xlpm.words,_xlpm.target)))&gt;0,"O","X")
)</f>
        <v>X</v>
      </c>
      <c r="P54" t="str" cm="1">
        <f t="array" ref="P54">_xlfn.LET(
  _xlpm.target,IFERROR(_xlfn.TEXTBEFORE(_xlfn.TEXTAFTER($F54,"：「"),"」("),""),
  _xlpm.words,TRIM(_xlfn.TEXTSPLIT(P$3,",")),
  IF(SUM(--ISNUMBER(SEARCH(_xlpm.words,_xlpm.target)))&gt;0,"O","X")
)</f>
        <v>X</v>
      </c>
      <c r="Q54" t="str" cm="1">
        <f t="array" ref="Q54">_xlfn.LET(
  _xlpm.target,IFERROR(_xlfn.TEXTBEFORE(_xlfn.TEXTAFTER($F54,"：「"),"」("),""),
  _xlpm.words,TRIM(_xlfn.TEXTSPLIT(Q$3,",")),
  IF(SUM(--ISNUMBER(SEARCH(_xlpm.words,_xlpm.target)))&gt;0,"O","X")
)</f>
        <v>X</v>
      </c>
      <c r="R54" t="str" cm="1">
        <f t="array" ref="R54">_xlfn.LET(
  _xlpm.target,IFERROR(_xlfn.TEXTBEFORE(_xlfn.TEXTAFTER($F54,"：「"),"」("),""),
  _xlpm.words,TRIM(_xlfn.TEXTSPLIT(R$3,",")),
  IF(SUM(--ISNUMBER(SEARCH(_xlpm.words,_xlpm.target)))&gt;0,"O","X")
)</f>
        <v>X</v>
      </c>
      <c r="S54" t="str" cm="1">
        <f t="array" ref="S54">_xlfn.LET(
  _xlpm.target,IFERROR(_xlfn.TEXTBEFORE(_xlfn.TEXTAFTER($F54,"：「"),"」("),""),
  _xlpm.words,TRIM(_xlfn.TEXTSPLIT(S$3,",")),
  IF(SUM(--ISNUMBER(SEARCH(_xlpm.words,_xlpm.target)))&gt;0,"O","X")
)</f>
        <v>X</v>
      </c>
      <c r="T54" t="str" cm="1">
        <f t="array" ref="T54">_xlfn.LET(
  _xlpm.target,IFERROR(_xlfn.TEXTBEFORE(_xlfn.TEXTAFTER($F54,"：「"),"」("),""),
  _xlpm.words,TRIM(_xlfn.TEXTSPLIT(T$3,",")),
  IF(SUM(--ISNUMBER(SEARCH(_xlpm.words,_xlpm.target)))&gt;0,"O","X")
)</f>
        <v>X</v>
      </c>
      <c r="U54" t="str" cm="1">
        <f t="array" ref="U54">_xlfn.LET(
  _xlpm.target,IFERROR(_xlfn.TEXTBEFORE(_xlfn.TEXTAFTER($F54,"：「"),"」("),""),
  _xlpm.words,TRIM(_xlfn.TEXTSPLIT(U$3,",")),
  IF(SUM(--ISNUMBER(SEARCH(_xlpm.words,_xlpm.target)))&gt;0,"O","X")
)</f>
        <v>X</v>
      </c>
      <c r="V54" t="str" cm="1">
        <f t="array" ref="V54">_xlfn.LET(
  _xlpm.target,IFERROR(_xlfn.TEXTBEFORE(_xlfn.TEXTAFTER($F54,"：「"),"」("),""),
  _xlpm.words,TRIM(_xlfn.TEXTSPLIT(V$3,",")),
  IF(SUM(--ISNUMBER(SEARCH(_xlpm.words,_xlpm.target)))&gt;0,"O","X")
)</f>
        <v>X</v>
      </c>
      <c r="W54" t="str" cm="1">
        <f t="array" ref="W54">_xlfn.LET(
  _xlpm.target,IFERROR(_xlfn.TEXTBEFORE(_xlfn.TEXTAFTER($F54,"：「"),"」("),""),
  _xlpm.words,TRIM(_xlfn.TEXTSPLIT(W$3,",")),
  IF(SUM(--ISNUMBER(SEARCH(_xlpm.words,_xlpm.target)))&gt;0,"O","X")
)</f>
        <v>X</v>
      </c>
      <c r="X54" t="str" cm="1">
        <f t="array" ref="X54">_xlfn.LET(
  _xlpm.target,IFERROR(_xlfn.TEXTBEFORE(_xlfn.TEXTAFTER($F54,"：「"),"」("),""),
  _xlpm.words,TRIM(_xlfn.TEXTSPLIT(X$3,",")),
  IF(SUM(--ISNUMBER(SEARCH(_xlpm.words,_xlpm.target)))&gt;0,"O","X")
)</f>
        <v>X</v>
      </c>
    </row>
    <row r="55" spans="1:24" ht="18">
      <c r="A55">
        <v>52</v>
      </c>
      <c r="B55" t="s">
        <v>155</v>
      </c>
      <c r="C55" t="s">
        <v>156</v>
      </c>
      <c r="D55" t="s">
        <v>157</v>
      </c>
      <c r="E55" t="s">
        <v>158</v>
      </c>
      <c r="F55" t="s">
        <v>238</v>
      </c>
      <c r="G55">
        <f>(LEN(F55)-LEN(SUBSTITUTE(F55,"帝網","")))/LEN("帝網")
 +(LEN(F55)-LEN(SUBSTITUTE(F55,"帝釋網","")))/LEN("帝釋網")
 +(LEN(F55)-LEN(SUBSTITUTE(F55,"因陀羅網","")))/LEN("因陀羅網")</f>
        <v>1</v>
      </c>
      <c r="H55" t="str">
        <f>_xlfn.TEXTBEFORE(_xlfn.TEXTAFTER(F55,"p. "),")")</f>
        <v>582a16-18</v>
      </c>
      <c r="I55">
        <f>LEN(_xlfn.TEXTBEFORE(_xlfn.TEXTAFTER(F55,"：「"),"」(CBETA"))</f>
        <v>48</v>
      </c>
      <c r="J55" t="s">
        <v>201</v>
      </c>
      <c r="K55" s="3" t="s">
        <v>205</v>
      </c>
      <c r="L55" s="1" t="s">
        <v>113</v>
      </c>
      <c r="M55" s="1" t="s">
        <v>135</v>
      </c>
      <c r="N55" s="1" t="s">
        <v>213</v>
      </c>
      <c r="O55" t="str" cm="1">
        <f t="array" ref="O55">_xlfn.LET(
  _xlpm.target,IFERROR(_xlfn.TEXTBEFORE(_xlfn.TEXTAFTER($F55,"：「"),"」("),""),
  _xlpm.words,TRIM(_xlfn.TEXTSPLIT(O$3,",")),
  IF(SUM(--ISNUMBER(SEARCH(_xlpm.words,_xlpm.target)))&gt;0,"O","X")
)</f>
        <v>O</v>
      </c>
      <c r="P55" t="str" cm="1">
        <f t="array" ref="P55">_xlfn.LET(
  _xlpm.target,IFERROR(_xlfn.TEXTBEFORE(_xlfn.TEXTAFTER($F55,"：「"),"」("),""),
  _xlpm.words,TRIM(_xlfn.TEXTSPLIT(P$3,",")),
  IF(SUM(--ISNUMBER(SEARCH(_xlpm.words,_xlpm.target)))&gt;0,"O","X")
)</f>
        <v>X</v>
      </c>
      <c r="Q55" t="str" cm="1">
        <f t="array" ref="Q55">_xlfn.LET(
  _xlpm.target,IFERROR(_xlfn.TEXTBEFORE(_xlfn.TEXTAFTER($F55,"：「"),"」("),""),
  _xlpm.words,TRIM(_xlfn.TEXTSPLIT(Q$3,",")),
  IF(SUM(--ISNUMBER(SEARCH(_xlpm.words,_xlpm.target)))&gt;0,"O","X")
)</f>
        <v>O</v>
      </c>
      <c r="R55" t="str" cm="1">
        <f t="array" ref="R55">_xlfn.LET(
  _xlpm.target,IFERROR(_xlfn.TEXTBEFORE(_xlfn.TEXTAFTER($F55,"：「"),"」("),""),
  _xlpm.words,TRIM(_xlfn.TEXTSPLIT(R$3,",")),
  IF(SUM(--ISNUMBER(SEARCH(_xlpm.words,_xlpm.target)))&gt;0,"O","X")
)</f>
        <v>X</v>
      </c>
      <c r="S55" t="str" cm="1">
        <f t="array" ref="S55">_xlfn.LET(
  _xlpm.target,IFERROR(_xlfn.TEXTBEFORE(_xlfn.TEXTAFTER($F55,"：「"),"」("),""),
  _xlpm.words,TRIM(_xlfn.TEXTSPLIT(S$3,",")),
  IF(SUM(--ISNUMBER(SEARCH(_xlpm.words,_xlpm.target)))&gt;0,"O","X")
)</f>
        <v>X</v>
      </c>
      <c r="T55" t="str" cm="1">
        <f t="array" ref="T55">_xlfn.LET(
  _xlpm.target,IFERROR(_xlfn.TEXTBEFORE(_xlfn.TEXTAFTER($F55,"：「"),"」("),""),
  _xlpm.words,TRIM(_xlfn.TEXTSPLIT(T$3,",")),
  IF(SUM(--ISNUMBER(SEARCH(_xlpm.words,_xlpm.target)))&gt;0,"O","X")
)</f>
        <v>X</v>
      </c>
      <c r="U55" t="str" cm="1">
        <f t="array" ref="U55">_xlfn.LET(
  _xlpm.target,IFERROR(_xlfn.TEXTBEFORE(_xlfn.TEXTAFTER($F55,"：「"),"」("),""),
  _xlpm.words,TRIM(_xlfn.TEXTSPLIT(U$3,",")),
  IF(SUM(--ISNUMBER(SEARCH(_xlpm.words,_xlpm.target)))&gt;0,"O","X")
)</f>
        <v>X</v>
      </c>
      <c r="V55" t="str" cm="1">
        <f t="array" ref="V55">_xlfn.LET(
  _xlpm.target,IFERROR(_xlfn.TEXTBEFORE(_xlfn.TEXTAFTER($F55,"：「"),"」("),""),
  _xlpm.words,TRIM(_xlfn.TEXTSPLIT(V$3,",")),
  IF(SUM(--ISNUMBER(SEARCH(_xlpm.words,_xlpm.target)))&gt;0,"O","X")
)</f>
        <v>X</v>
      </c>
      <c r="W55" t="str" cm="1">
        <f t="array" ref="W55">_xlfn.LET(
  _xlpm.target,IFERROR(_xlfn.TEXTBEFORE(_xlfn.TEXTAFTER($F55,"：「"),"」("),""),
  _xlpm.words,TRIM(_xlfn.TEXTSPLIT(W$3,",")),
  IF(SUM(--ISNUMBER(SEARCH(_xlpm.words,_xlpm.target)))&gt;0,"O","X")
)</f>
        <v>X</v>
      </c>
      <c r="X55" t="str" cm="1">
        <f t="array" ref="X55">_xlfn.LET(
  _xlpm.target,IFERROR(_xlfn.TEXTBEFORE(_xlfn.TEXTAFTER($F55,"：「"),"」("),""),
  _xlpm.words,TRIM(_xlfn.TEXTSPLIT(X$3,",")),
  IF(SUM(--ISNUMBER(SEARCH(_xlpm.words,_xlpm.target)))&gt;0,"O","X")
)</f>
        <v>X</v>
      </c>
    </row>
    <row r="56" spans="1:24">
      <c r="A56">
        <v>53</v>
      </c>
      <c r="B56" t="s">
        <v>159</v>
      </c>
      <c r="C56" t="s">
        <v>160</v>
      </c>
      <c r="D56" t="s">
        <v>161</v>
      </c>
      <c r="E56" t="s">
        <v>162</v>
      </c>
      <c r="F56" t="s">
        <v>188</v>
      </c>
      <c r="G56">
        <f>(LEN(F56)-LEN(SUBSTITUTE(F56,"帝網","")))/LEN("帝網")
 +(LEN(F56)-LEN(SUBSTITUTE(F56,"帝釋網","")))/LEN("帝釋網")
 +(LEN(F56)-LEN(SUBSTITUTE(F56,"因陀羅網","")))/LEN("因陀羅網")</f>
        <v>1</v>
      </c>
      <c r="H56" t="str">
        <f>_xlfn.TEXTBEFORE(_xlfn.TEXTAFTER(F56,"p. "),")")</f>
        <v>697b12</v>
      </c>
      <c r="I56">
        <f>LEN(_xlfn.TEXTBEFORE(_xlfn.TEXTAFTER(F56,"：「"),"」(CBETA"))</f>
        <v>9</v>
      </c>
      <c r="J56" t="s">
        <v>198</v>
      </c>
      <c r="K56" s="3"/>
      <c r="L56" s="1" t="s">
        <v>123</v>
      </c>
      <c r="M56" s="1" t="s">
        <v>135</v>
      </c>
      <c r="N56" s="1" t="s">
        <v>214</v>
      </c>
      <c r="O56" t="str" cm="1">
        <f t="array" ref="O56">_xlfn.LET(
  _xlpm.target,IFERROR(_xlfn.TEXTBEFORE(_xlfn.TEXTAFTER($F56,"：「"),"」("),""),
  _xlpm.words,TRIM(_xlfn.TEXTSPLIT(O$3,",")),
  IF(SUM(--ISNUMBER(SEARCH(_xlpm.words,_xlpm.target)))&gt;0,"O","X")
)</f>
        <v>X</v>
      </c>
      <c r="P56" t="str" cm="1">
        <f t="array" ref="P56">_xlfn.LET(
  _xlpm.target,IFERROR(_xlfn.TEXTBEFORE(_xlfn.TEXTAFTER($F56,"：「"),"」("),""),
  _xlpm.words,TRIM(_xlfn.TEXTSPLIT(P$3,",")),
  IF(SUM(--ISNUMBER(SEARCH(_xlpm.words,_xlpm.target)))&gt;0,"O","X")
)</f>
        <v>X</v>
      </c>
      <c r="Q56" t="str" cm="1">
        <f t="array" ref="Q56">_xlfn.LET(
  _xlpm.target,IFERROR(_xlfn.TEXTBEFORE(_xlfn.TEXTAFTER($F56,"：「"),"」("),""),
  _xlpm.words,TRIM(_xlfn.TEXTSPLIT(Q$3,",")),
  IF(SUM(--ISNUMBER(SEARCH(_xlpm.words,_xlpm.target)))&gt;0,"O","X")
)</f>
        <v>X</v>
      </c>
      <c r="R56" t="str" cm="1">
        <f t="array" ref="R56">_xlfn.LET(
  _xlpm.target,IFERROR(_xlfn.TEXTBEFORE(_xlfn.TEXTAFTER($F56,"：「"),"」("),""),
  _xlpm.words,TRIM(_xlfn.TEXTSPLIT(R$3,",")),
  IF(SUM(--ISNUMBER(SEARCH(_xlpm.words,_xlpm.target)))&gt;0,"O","X")
)</f>
        <v>X</v>
      </c>
      <c r="S56" t="str" cm="1">
        <f t="array" ref="S56">_xlfn.LET(
  _xlpm.target,IFERROR(_xlfn.TEXTBEFORE(_xlfn.TEXTAFTER($F56,"：「"),"」("),""),
  _xlpm.words,TRIM(_xlfn.TEXTSPLIT(S$3,",")),
  IF(SUM(--ISNUMBER(SEARCH(_xlpm.words,_xlpm.target)))&gt;0,"O","X")
)</f>
        <v>X</v>
      </c>
      <c r="T56" t="str" cm="1">
        <f t="array" ref="T56">_xlfn.LET(
  _xlpm.target,IFERROR(_xlfn.TEXTBEFORE(_xlfn.TEXTAFTER($F56,"：「"),"」("),""),
  _xlpm.words,TRIM(_xlfn.TEXTSPLIT(T$3,",")),
  IF(SUM(--ISNUMBER(SEARCH(_xlpm.words,_xlpm.target)))&gt;0,"O","X")
)</f>
        <v>X</v>
      </c>
      <c r="U56" t="str" cm="1">
        <f t="array" ref="U56">_xlfn.LET(
  _xlpm.target,IFERROR(_xlfn.TEXTBEFORE(_xlfn.TEXTAFTER($F56,"：「"),"」("),""),
  _xlpm.words,TRIM(_xlfn.TEXTSPLIT(U$3,",")),
  IF(SUM(--ISNUMBER(SEARCH(_xlpm.words,_xlpm.target)))&gt;0,"O","X")
)</f>
        <v>X</v>
      </c>
      <c r="V56" t="str" cm="1">
        <f t="array" ref="V56">_xlfn.LET(
  _xlpm.target,IFERROR(_xlfn.TEXTBEFORE(_xlfn.TEXTAFTER($F56,"：「"),"」("),""),
  _xlpm.words,TRIM(_xlfn.TEXTSPLIT(V$3,",")),
  IF(SUM(--ISNUMBER(SEARCH(_xlpm.words,_xlpm.target)))&gt;0,"O","X")
)</f>
        <v>X</v>
      </c>
      <c r="W56" t="str" cm="1">
        <f t="array" ref="W56">_xlfn.LET(
  _xlpm.target,IFERROR(_xlfn.TEXTBEFORE(_xlfn.TEXTAFTER($F56,"：「"),"」("),""),
  _xlpm.words,TRIM(_xlfn.TEXTSPLIT(W$3,",")),
  IF(SUM(--ISNUMBER(SEARCH(_xlpm.words,_xlpm.target)))&gt;0,"O","X")
)</f>
        <v>X</v>
      </c>
      <c r="X56" t="str" cm="1">
        <f t="array" ref="X56">_xlfn.LET(
  _xlpm.target,IFERROR(_xlfn.TEXTBEFORE(_xlfn.TEXTAFTER($F56,"：「"),"」("),""),
  _xlpm.words,TRIM(_xlfn.TEXTSPLIT(X$3,",")),
  IF(SUM(--ISNUMBER(SEARCH(_xlpm.words,_xlpm.target)))&gt;0,"O","X")
)</f>
        <v>X</v>
      </c>
    </row>
    <row r="57" spans="1:24" ht="18.75">
      <c r="A57">
        <v>54</v>
      </c>
      <c r="B57" t="s">
        <v>163</v>
      </c>
      <c r="C57" t="s">
        <v>156</v>
      </c>
      <c r="D57" t="s">
        <v>164</v>
      </c>
      <c r="E57" t="s">
        <v>165</v>
      </c>
      <c r="F57" t="s">
        <v>234</v>
      </c>
      <c r="G57">
        <f>(LEN(F57)-LEN(SUBSTITUTE(F57,"帝網","")))/LEN("帝網")
 +(LEN(F57)-LEN(SUBSTITUTE(F57,"帝釋網","")))/LEN("帝釋網")
 +(LEN(F57)-LEN(SUBSTITUTE(F57,"因陀羅網","")))/LEN("因陀羅網")</f>
        <v>1</v>
      </c>
      <c r="H57" t="str">
        <f>_xlfn.TEXTBEFORE(_xlfn.TEXTAFTER(F57,"p. "),")")</f>
        <v>1027b21-26</v>
      </c>
      <c r="I57">
        <f>LEN(_xlfn.TEXTBEFORE(_xlfn.TEXTAFTER(F57,"：「"),"」(CBETA"))</f>
        <v>116</v>
      </c>
      <c r="J57" t="s">
        <v>201</v>
      </c>
      <c r="K57" s="3" t="s">
        <v>206</v>
      </c>
      <c r="L57" s="1" t="s">
        <v>113</v>
      </c>
      <c r="M57" s="1" t="s">
        <v>135</v>
      </c>
      <c r="N57" s="1" t="s">
        <v>215</v>
      </c>
      <c r="O57" t="str" cm="1">
        <f t="array" ref="O57">_xlfn.LET(
  _xlpm.target,IFERROR(_xlfn.TEXTBEFORE(_xlfn.TEXTAFTER($F57,"：「"),"」("),""),
  _xlpm.words,TRIM(_xlfn.TEXTSPLIT(O$3,",")),
  IF(SUM(--ISNUMBER(SEARCH(_xlpm.words,_xlpm.target)))&gt;0,"O","X")
)</f>
        <v>O</v>
      </c>
      <c r="P57" t="str" cm="1">
        <f t="array" ref="P57">_xlfn.LET(
  _xlpm.target,IFERROR(_xlfn.TEXTBEFORE(_xlfn.TEXTAFTER($F57,"：「"),"」("),""),
  _xlpm.words,TRIM(_xlfn.TEXTSPLIT(P$3,",")),
  IF(SUM(--ISNUMBER(SEARCH(_xlpm.words,_xlpm.target)))&gt;0,"O","X")
)</f>
        <v>O</v>
      </c>
      <c r="Q57" t="str" cm="1">
        <f t="array" ref="Q57">_xlfn.LET(
  _xlpm.target,IFERROR(_xlfn.TEXTBEFORE(_xlfn.TEXTAFTER($F57,"：「"),"」("),""),
  _xlpm.words,TRIM(_xlfn.TEXTSPLIT(Q$3,",")),
  IF(SUM(--ISNUMBER(SEARCH(_xlpm.words,_xlpm.target)))&gt;0,"O","X")
)</f>
        <v>X</v>
      </c>
      <c r="R57" t="str" cm="1">
        <f t="array" ref="R57">_xlfn.LET(
  _xlpm.target,IFERROR(_xlfn.TEXTBEFORE(_xlfn.TEXTAFTER($F57,"：「"),"」("),""),
  _xlpm.words,TRIM(_xlfn.TEXTSPLIT(R$3,",")),
  IF(SUM(--ISNUMBER(SEARCH(_xlpm.words,_xlpm.target)))&gt;0,"O","X")
)</f>
        <v>X</v>
      </c>
      <c r="S57" t="str" cm="1">
        <f t="array" ref="S57">_xlfn.LET(
  _xlpm.target,IFERROR(_xlfn.TEXTBEFORE(_xlfn.TEXTAFTER($F57,"：「"),"」("),""),
  _xlpm.words,TRIM(_xlfn.TEXTSPLIT(S$3,",")),
  IF(SUM(--ISNUMBER(SEARCH(_xlpm.words,_xlpm.target)))&gt;0,"O","X")
)</f>
        <v>X</v>
      </c>
      <c r="T57" t="str" cm="1">
        <f t="array" ref="T57">_xlfn.LET(
  _xlpm.target,IFERROR(_xlfn.TEXTBEFORE(_xlfn.TEXTAFTER($F57,"：「"),"」("),""),
  _xlpm.words,TRIM(_xlfn.TEXTSPLIT(T$3,",")),
  IF(SUM(--ISNUMBER(SEARCH(_xlpm.words,_xlpm.target)))&gt;0,"O","X")
)</f>
        <v>X</v>
      </c>
      <c r="U57" t="str" cm="1">
        <f t="array" ref="U57">_xlfn.LET(
  _xlpm.target,IFERROR(_xlfn.TEXTBEFORE(_xlfn.TEXTAFTER($F57,"：「"),"」("),""),
  _xlpm.words,TRIM(_xlfn.TEXTSPLIT(U$3,",")),
  IF(SUM(--ISNUMBER(SEARCH(_xlpm.words,_xlpm.target)))&gt;0,"O","X")
)</f>
        <v>O</v>
      </c>
      <c r="V57" t="str" cm="1">
        <f t="array" ref="V57">_xlfn.LET(
  _xlpm.target,IFERROR(_xlfn.TEXTBEFORE(_xlfn.TEXTAFTER($F57,"：「"),"」("),""),
  _xlpm.words,TRIM(_xlfn.TEXTSPLIT(V$3,",")),
  IF(SUM(--ISNUMBER(SEARCH(_xlpm.words,_xlpm.target)))&gt;0,"O","X")
)</f>
        <v>X</v>
      </c>
      <c r="W57" t="str" cm="1">
        <f t="array" ref="W57">_xlfn.LET(
  _xlpm.target,IFERROR(_xlfn.TEXTBEFORE(_xlfn.TEXTAFTER($F57,"：「"),"」("),""),
  _xlpm.words,TRIM(_xlfn.TEXTSPLIT(W$3,",")),
  IF(SUM(--ISNUMBER(SEARCH(_xlpm.words,_xlpm.target)))&gt;0,"O","X")
)</f>
        <v>X</v>
      </c>
      <c r="X57" t="str" cm="1">
        <f t="array" ref="X57">_xlfn.LET(
  _xlpm.target,IFERROR(_xlfn.TEXTBEFORE(_xlfn.TEXTAFTER($F57,"：「"),"」("),""),
  _xlpm.words,TRIM(_xlfn.TEXTSPLIT(X$3,",")),
  IF(SUM(--ISNUMBER(SEARCH(_xlpm.words,_xlpm.target)))&gt;0,"O","X")
)</f>
        <v>O</v>
      </c>
    </row>
    <row r="58" spans="1:24">
      <c r="A58">
        <v>55</v>
      </c>
      <c r="B58" t="s">
        <v>163</v>
      </c>
      <c r="C58" t="s">
        <v>156</v>
      </c>
      <c r="D58" t="s">
        <v>164</v>
      </c>
      <c r="E58" t="s">
        <v>165</v>
      </c>
      <c r="F58" t="s">
        <v>189</v>
      </c>
      <c r="G58">
        <f>(LEN(F58)-LEN(SUBSTITUTE(F58,"帝網","")))/LEN("帝網")
 +(LEN(F58)-LEN(SUBSTITUTE(F58,"帝釋網","")))/LEN("帝釋網")
 +(LEN(F58)-LEN(SUBSTITUTE(F58,"因陀羅網","")))/LEN("因陀羅網")</f>
        <v>1</v>
      </c>
      <c r="H58" t="str">
        <f>_xlfn.TEXTBEFORE(_xlfn.TEXTAFTER(F58,"p. "),")")</f>
        <v>405c29-406a5</v>
      </c>
      <c r="I58">
        <f>LEN(_xlfn.TEXTBEFORE(_xlfn.TEXTAFTER(F58,"：「"),"」(CBETA"))</f>
        <v>105</v>
      </c>
      <c r="J58" t="s">
        <v>201</v>
      </c>
      <c r="K58" s="3" t="s">
        <v>206</v>
      </c>
      <c r="L58" s="1" t="s">
        <v>113</v>
      </c>
      <c r="M58" s="1" t="s">
        <v>135</v>
      </c>
      <c r="N58" s="1" t="s">
        <v>215</v>
      </c>
      <c r="O58" t="str" cm="1">
        <f t="array" ref="O58">_xlfn.LET(
  _xlpm.target,IFERROR(_xlfn.TEXTBEFORE(_xlfn.TEXTAFTER($F58,"：「"),"」("),""),
  _xlpm.words,TRIM(_xlfn.TEXTSPLIT(O$3,",")),
  IF(SUM(--ISNUMBER(SEARCH(_xlpm.words,_xlpm.target)))&gt;0,"O","X")
)</f>
        <v>O</v>
      </c>
      <c r="P58" t="str" cm="1">
        <f t="array" ref="P58">_xlfn.LET(
  _xlpm.target,IFERROR(_xlfn.TEXTBEFORE(_xlfn.TEXTAFTER($F58,"：「"),"」("),""),
  _xlpm.words,TRIM(_xlfn.TEXTSPLIT(P$3,",")),
  IF(SUM(--ISNUMBER(SEARCH(_xlpm.words,_xlpm.target)))&gt;0,"O","X")
)</f>
        <v>O</v>
      </c>
      <c r="Q58" t="str" cm="1">
        <f t="array" ref="Q58">_xlfn.LET(
  _xlpm.target,IFERROR(_xlfn.TEXTBEFORE(_xlfn.TEXTAFTER($F58,"：「"),"」("),""),
  _xlpm.words,TRIM(_xlfn.TEXTSPLIT(Q$3,",")),
  IF(SUM(--ISNUMBER(SEARCH(_xlpm.words,_xlpm.target)))&gt;0,"O","X")
)</f>
        <v>X</v>
      </c>
      <c r="R58" t="str" cm="1">
        <f t="array" ref="R58">_xlfn.LET(
  _xlpm.target,IFERROR(_xlfn.TEXTBEFORE(_xlfn.TEXTAFTER($F58,"：「"),"」("),""),
  _xlpm.words,TRIM(_xlfn.TEXTSPLIT(R$3,",")),
  IF(SUM(--ISNUMBER(SEARCH(_xlpm.words,_xlpm.target)))&gt;0,"O","X")
)</f>
        <v>X</v>
      </c>
      <c r="S58" t="str" cm="1">
        <f t="array" ref="S58">_xlfn.LET(
  _xlpm.target,IFERROR(_xlfn.TEXTBEFORE(_xlfn.TEXTAFTER($F58,"：「"),"」("),""),
  _xlpm.words,TRIM(_xlfn.TEXTSPLIT(S$3,",")),
  IF(SUM(--ISNUMBER(SEARCH(_xlpm.words,_xlpm.target)))&gt;0,"O","X")
)</f>
        <v>X</v>
      </c>
      <c r="T58" t="str" cm="1">
        <f t="array" ref="T58">_xlfn.LET(
  _xlpm.target,IFERROR(_xlfn.TEXTBEFORE(_xlfn.TEXTAFTER($F58,"：「"),"」("),""),
  _xlpm.words,TRIM(_xlfn.TEXTSPLIT(T$3,",")),
  IF(SUM(--ISNUMBER(SEARCH(_xlpm.words,_xlpm.target)))&gt;0,"O","X")
)</f>
        <v>X</v>
      </c>
      <c r="U58" t="str" cm="1">
        <f t="array" ref="U58">_xlfn.LET(
  _xlpm.target,IFERROR(_xlfn.TEXTBEFORE(_xlfn.TEXTAFTER($F58,"：「"),"」("),""),
  _xlpm.words,TRIM(_xlfn.TEXTSPLIT(U$3,",")),
  IF(SUM(--ISNUMBER(SEARCH(_xlpm.words,_xlpm.target)))&gt;0,"O","X")
)</f>
        <v>O</v>
      </c>
      <c r="V58" t="str" cm="1">
        <f t="array" ref="V58">_xlfn.LET(
  _xlpm.target,IFERROR(_xlfn.TEXTBEFORE(_xlfn.TEXTAFTER($F58,"：「"),"」("),""),
  _xlpm.words,TRIM(_xlfn.TEXTSPLIT(V$3,",")),
  IF(SUM(--ISNUMBER(SEARCH(_xlpm.words,_xlpm.target)))&gt;0,"O","X")
)</f>
        <v>X</v>
      </c>
      <c r="W58" t="str" cm="1">
        <f t="array" ref="W58">_xlfn.LET(
  _xlpm.target,IFERROR(_xlfn.TEXTBEFORE(_xlfn.TEXTAFTER($F58,"：「"),"」("),""),
  _xlpm.words,TRIM(_xlfn.TEXTSPLIT(W$3,",")),
  IF(SUM(--ISNUMBER(SEARCH(_xlpm.words,_xlpm.target)))&gt;0,"O","X")
)</f>
        <v>X</v>
      </c>
      <c r="X58" t="str" cm="1">
        <f t="array" ref="X58">_xlfn.LET(
  _xlpm.target,IFERROR(_xlfn.TEXTBEFORE(_xlfn.TEXTAFTER($F58,"：「"),"」("),""),
  _xlpm.words,TRIM(_xlfn.TEXTSPLIT(X$3,",")),
  IF(SUM(--ISNUMBER(SEARCH(_xlpm.words,_xlpm.target)))&gt;0,"O","X")
)</f>
        <v>O</v>
      </c>
    </row>
    <row r="59" spans="1:24">
      <c r="A59">
        <v>56</v>
      </c>
      <c r="B59" t="s">
        <v>163</v>
      </c>
      <c r="C59" t="s">
        <v>156</v>
      </c>
      <c r="D59" t="s">
        <v>164</v>
      </c>
      <c r="E59" t="s">
        <v>165</v>
      </c>
      <c r="F59" t="s">
        <v>190</v>
      </c>
      <c r="G59">
        <f>(LEN(F59)-LEN(SUBSTITUTE(F59,"帝網","")))/LEN("帝網")
 +(LEN(F59)-LEN(SUBSTITUTE(F59,"帝釋網","")))/LEN("帝釋網")
 +(LEN(F59)-LEN(SUBSTITUTE(F59,"因陀羅網","")))/LEN("因陀羅網")</f>
        <v>1</v>
      </c>
      <c r="H59" t="str">
        <f>_xlfn.TEXTBEFORE(_xlfn.TEXTAFTER(F59,"p. "),")")</f>
        <v>745a1-6</v>
      </c>
      <c r="I59">
        <f>LEN(_xlfn.TEXTBEFORE(_xlfn.TEXTAFTER(F59,"：「"),"」(CBETA"))</f>
        <v>105</v>
      </c>
      <c r="J59" t="s">
        <v>201</v>
      </c>
      <c r="K59" s="3" t="s">
        <v>206</v>
      </c>
      <c r="L59" s="1" t="s">
        <v>113</v>
      </c>
      <c r="M59" s="1" t="s">
        <v>135</v>
      </c>
      <c r="N59" s="1" t="s">
        <v>215</v>
      </c>
      <c r="O59" t="str" cm="1">
        <f t="array" ref="O59">_xlfn.LET(
  _xlpm.target,IFERROR(_xlfn.TEXTBEFORE(_xlfn.TEXTAFTER($F59,"：「"),"」("),""),
  _xlpm.words,TRIM(_xlfn.TEXTSPLIT(O$3,",")),
  IF(SUM(--ISNUMBER(SEARCH(_xlpm.words,_xlpm.target)))&gt;0,"O","X")
)</f>
        <v>O</v>
      </c>
      <c r="P59" t="str" cm="1">
        <f t="array" ref="P59">_xlfn.LET(
  _xlpm.target,IFERROR(_xlfn.TEXTBEFORE(_xlfn.TEXTAFTER($F59,"：「"),"」("),""),
  _xlpm.words,TRIM(_xlfn.TEXTSPLIT(P$3,",")),
  IF(SUM(--ISNUMBER(SEARCH(_xlpm.words,_xlpm.target)))&gt;0,"O","X")
)</f>
        <v>O</v>
      </c>
      <c r="Q59" t="str" cm="1">
        <f t="array" ref="Q59">_xlfn.LET(
  _xlpm.target,IFERROR(_xlfn.TEXTBEFORE(_xlfn.TEXTAFTER($F59,"：「"),"」("),""),
  _xlpm.words,TRIM(_xlfn.TEXTSPLIT(Q$3,",")),
  IF(SUM(--ISNUMBER(SEARCH(_xlpm.words,_xlpm.target)))&gt;0,"O","X")
)</f>
        <v>X</v>
      </c>
      <c r="R59" t="str" cm="1">
        <f t="array" ref="R59">_xlfn.LET(
  _xlpm.target,IFERROR(_xlfn.TEXTBEFORE(_xlfn.TEXTAFTER($F59,"：「"),"」("),""),
  _xlpm.words,TRIM(_xlfn.TEXTSPLIT(R$3,",")),
  IF(SUM(--ISNUMBER(SEARCH(_xlpm.words,_xlpm.target)))&gt;0,"O","X")
)</f>
        <v>X</v>
      </c>
      <c r="S59" t="str" cm="1">
        <f t="array" ref="S59">_xlfn.LET(
  _xlpm.target,IFERROR(_xlfn.TEXTBEFORE(_xlfn.TEXTAFTER($F59,"：「"),"」("),""),
  _xlpm.words,TRIM(_xlfn.TEXTSPLIT(S$3,",")),
  IF(SUM(--ISNUMBER(SEARCH(_xlpm.words,_xlpm.target)))&gt;0,"O","X")
)</f>
        <v>X</v>
      </c>
      <c r="T59" t="str" cm="1">
        <f t="array" ref="T59">_xlfn.LET(
  _xlpm.target,IFERROR(_xlfn.TEXTBEFORE(_xlfn.TEXTAFTER($F59,"：「"),"」("),""),
  _xlpm.words,TRIM(_xlfn.TEXTSPLIT(T$3,",")),
  IF(SUM(--ISNUMBER(SEARCH(_xlpm.words,_xlpm.target)))&gt;0,"O","X")
)</f>
        <v>X</v>
      </c>
      <c r="U59" t="str" cm="1">
        <f t="array" ref="U59">_xlfn.LET(
  _xlpm.target,IFERROR(_xlfn.TEXTBEFORE(_xlfn.TEXTAFTER($F59,"：「"),"」("),""),
  _xlpm.words,TRIM(_xlfn.TEXTSPLIT(U$3,",")),
  IF(SUM(--ISNUMBER(SEARCH(_xlpm.words,_xlpm.target)))&gt;0,"O","X")
)</f>
        <v>O</v>
      </c>
      <c r="V59" t="str" cm="1">
        <f t="array" ref="V59">_xlfn.LET(
  _xlpm.target,IFERROR(_xlfn.TEXTBEFORE(_xlfn.TEXTAFTER($F59,"：「"),"」("),""),
  _xlpm.words,TRIM(_xlfn.TEXTSPLIT(V$3,",")),
  IF(SUM(--ISNUMBER(SEARCH(_xlpm.words,_xlpm.target)))&gt;0,"O","X")
)</f>
        <v>X</v>
      </c>
      <c r="W59" t="str" cm="1">
        <f t="array" ref="W59">_xlfn.LET(
  _xlpm.target,IFERROR(_xlfn.TEXTBEFORE(_xlfn.TEXTAFTER($F59,"：「"),"」("),""),
  _xlpm.words,TRIM(_xlfn.TEXTSPLIT(W$3,",")),
  IF(SUM(--ISNUMBER(SEARCH(_xlpm.words,_xlpm.target)))&gt;0,"O","X")
)</f>
        <v>X</v>
      </c>
      <c r="X59" t="str" cm="1">
        <f t="array" ref="X59">_xlfn.LET(
  _xlpm.target,IFERROR(_xlfn.TEXTBEFORE(_xlfn.TEXTAFTER($F59,"：「"),"」("),""),
  _xlpm.words,TRIM(_xlfn.TEXTSPLIT(X$3,",")),
  IF(SUM(--ISNUMBER(SEARCH(_xlpm.words,_xlpm.target)))&gt;0,"O","X")
)</f>
        <v>O</v>
      </c>
    </row>
    <row r="60" spans="1:24">
      <c r="A60">
        <v>57</v>
      </c>
      <c r="B60" t="s">
        <v>166</v>
      </c>
      <c r="C60" t="s">
        <v>152</v>
      </c>
      <c r="D60" t="s">
        <v>167</v>
      </c>
      <c r="E60" t="s">
        <v>168</v>
      </c>
      <c r="F60" t="s">
        <v>191</v>
      </c>
      <c r="G60">
        <f>(LEN(F60)-LEN(SUBSTITUTE(F60,"帝網","")))/LEN("帝網")
 +(LEN(F60)-LEN(SUBSTITUTE(F60,"帝釋網","")))/LEN("帝釋網")
 +(LEN(F60)-LEN(SUBSTITUTE(F60,"因陀羅網","")))/LEN("因陀羅網")</f>
        <v>1</v>
      </c>
      <c r="H60" t="str">
        <f>_xlfn.TEXTBEFORE(_xlfn.TEXTAFTER(F60,"p. "),")")</f>
        <v>390c28-391a3</v>
      </c>
      <c r="I60">
        <f>LEN(_xlfn.TEXTBEFORE(_xlfn.TEXTAFTER(F60,"：「"),"」(CBETA"))</f>
        <v>72</v>
      </c>
      <c r="J60" t="s">
        <v>200</v>
      </c>
      <c r="K60" s="3" t="s">
        <v>207</v>
      </c>
      <c r="L60" s="1" t="s">
        <v>210</v>
      </c>
      <c r="M60" s="1" t="s">
        <v>136</v>
      </c>
      <c r="N60" s="1" t="s">
        <v>216</v>
      </c>
      <c r="O60" t="str" cm="1">
        <f t="array" ref="O60">_xlfn.LET(
  _xlpm.target,IFERROR(_xlfn.TEXTBEFORE(_xlfn.TEXTAFTER($F60,"：「"),"」("),""),
  _xlpm.words,TRIM(_xlfn.TEXTSPLIT(O$3,",")),
  IF(SUM(--ISNUMBER(SEARCH(_xlpm.words,_xlpm.target)))&gt;0,"O","X")
)</f>
        <v>X</v>
      </c>
      <c r="P60" t="str" cm="1">
        <f t="array" ref="P60">_xlfn.LET(
  _xlpm.target,IFERROR(_xlfn.TEXTBEFORE(_xlfn.TEXTAFTER($F60,"：「"),"」("),""),
  _xlpm.words,TRIM(_xlfn.TEXTSPLIT(P$3,",")),
  IF(SUM(--ISNUMBER(SEARCH(_xlpm.words,_xlpm.target)))&gt;0,"O","X")
)</f>
        <v>X</v>
      </c>
      <c r="Q60" t="str" cm="1">
        <f t="array" ref="Q60">_xlfn.LET(
  _xlpm.target,IFERROR(_xlfn.TEXTBEFORE(_xlfn.TEXTAFTER($F60,"：「"),"」("),""),
  _xlpm.words,TRIM(_xlfn.TEXTSPLIT(Q$3,",")),
  IF(SUM(--ISNUMBER(SEARCH(_xlpm.words,_xlpm.target)))&gt;0,"O","X")
)</f>
        <v>X</v>
      </c>
      <c r="R60" t="str" cm="1">
        <f t="array" ref="R60">_xlfn.LET(
  _xlpm.target,IFERROR(_xlfn.TEXTBEFORE(_xlfn.TEXTAFTER($F60,"：「"),"」("),""),
  _xlpm.words,TRIM(_xlfn.TEXTSPLIT(R$3,",")),
  IF(SUM(--ISNUMBER(SEARCH(_xlpm.words,_xlpm.target)))&gt;0,"O","X")
)</f>
        <v>X</v>
      </c>
      <c r="S60" t="str" cm="1">
        <f t="array" ref="S60">_xlfn.LET(
  _xlpm.target,IFERROR(_xlfn.TEXTBEFORE(_xlfn.TEXTAFTER($F60,"：「"),"」("),""),
  _xlpm.words,TRIM(_xlfn.TEXTSPLIT(S$3,",")),
  IF(SUM(--ISNUMBER(SEARCH(_xlpm.words,_xlpm.target)))&gt;0,"O","X")
)</f>
        <v>X</v>
      </c>
      <c r="T60" t="str" cm="1">
        <f t="array" ref="T60">_xlfn.LET(
  _xlpm.target,IFERROR(_xlfn.TEXTBEFORE(_xlfn.TEXTAFTER($F60,"：「"),"」("),""),
  _xlpm.words,TRIM(_xlfn.TEXTSPLIT(T$3,",")),
  IF(SUM(--ISNUMBER(SEARCH(_xlpm.words,_xlpm.target)))&gt;0,"O","X")
)</f>
        <v>X</v>
      </c>
      <c r="U60" t="str" cm="1">
        <f t="array" ref="U60">_xlfn.LET(
  _xlpm.target,IFERROR(_xlfn.TEXTBEFORE(_xlfn.TEXTAFTER($F60,"：「"),"」("),""),
  _xlpm.words,TRIM(_xlfn.TEXTSPLIT(U$3,",")),
  IF(SUM(--ISNUMBER(SEARCH(_xlpm.words,_xlpm.target)))&gt;0,"O","X")
)</f>
        <v>X</v>
      </c>
      <c r="V60" t="str" cm="1">
        <f t="array" ref="V60">_xlfn.LET(
  _xlpm.target,IFERROR(_xlfn.TEXTBEFORE(_xlfn.TEXTAFTER($F60,"：「"),"」("),""),
  _xlpm.words,TRIM(_xlfn.TEXTSPLIT(V$3,",")),
  IF(SUM(--ISNUMBER(SEARCH(_xlpm.words,_xlpm.target)))&gt;0,"O","X")
)</f>
        <v>X</v>
      </c>
      <c r="W60" t="str" cm="1">
        <f t="array" ref="W60">_xlfn.LET(
  _xlpm.target,IFERROR(_xlfn.TEXTBEFORE(_xlfn.TEXTAFTER($F60,"：「"),"」("),""),
  _xlpm.words,TRIM(_xlfn.TEXTSPLIT(W$3,",")),
  IF(SUM(--ISNUMBER(SEARCH(_xlpm.words,_xlpm.target)))&gt;0,"O","X")
)</f>
        <v>X</v>
      </c>
      <c r="X60" t="str" cm="1">
        <f t="array" ref="X60">_xlfn.LET(
  _xlpm.target,IFERROR(_xlfn.TEXTBEFORE(_xlfn.TEXTAFTER($F60,"：「"),"」("),""),
  _xlpm.words,TRIM(_xlfn.TEXTSPLIT(X$3,",")),
  IF(SUM(--ISNUMBER(SEARCH(_xlpm.words,_xlpm.target)))&gt;0,"O","X")
)</f>
        <v>X</v>
      </c>
    </row>
    <row r="61" spans="1:24">
      <c r="A61">
        <v>58</v>
      </c>
      <c r="B61" t="s">
        <v>169</v>
      </c>
      <c r="C61" t="s">
        <v>152</v>
      </c>
      <c r="D61" t="s">
        <v>170</v>
      </c>
      <c r="E61" t="s">
        <v>171</v>
      </c>
      <c r="F61" t="s">
        <v>192</v>
      </c>
      <c r="G61">
        <f>(LEN(F61)-LEN(SUBSTITUTE(F61,"帝網","")))/LEN("帝網")
 +(LEN(F61)-LEN(SUBSTITUTE(F61,"帝釋網","")))/LEN("帝釋網")
 +(LEN(F61)-LEN(SUBSTITUTE(F61,"因陀羅網","")))/LEN("因陀羅網")</f>
        <v>1</v>
      </c>
      <c r="H61" t="str">
        <f>_xlfn.TEXTBEFORE(_xlfn.TEXTAFTER(F61,"p. "),")")</f>
        <v>340b12-14</v>
      </c>
      <c r="I61">
        <f>LEN(_xlfn.TEXTBEFORE(_xlfn.TEXTAFTER(F61,"：「"),"」(CBETA"))</f>
        <v>30</v>
      </c>
      <c r="J61" t="s">
        <v>200</v>
      </c>
      <c r="K61" s="3" t="s">
        <v>208</v>
      </c>
      <c r="L61" s="1" t="s">
        <v>212</v>
      </c>
      <c r="M61" s="1" t="s">
        <v>136</v>
      </c>
      <c r="N61" s="1" t="s">
        <v>216</v>
      </c>
      <c r="O61" t="str" cm="1">
        <f t="array" ref="O61">_xlfn.LET(
  _xlpm.target,IFERROR(_xlfn.TEXTBEFORE(_xlfn.TEXTAFTER($F61,"：「"),"」("),""),
  _xlpm.words,TRIM(_xlfn.TEXTSPLIT(O$3,",")),
  IF(SUM(--ISNUMBER(SEARCH(_xlpm.words,_xlpm.target)))&gt;0,"O","X")
)</f>
        <v>X</v>
      </c>
      <c r="P61" t="str" cm="1">
        <f t="array" ref="P61">_xlfn.LET(
  _xlpm.target,IFERROR(_xlfn.TEXTBEFORE(_xlfn.TEXTAFTER($F61,"：「"),"」("),""),
  _xlpm.words,TRIM(_xlfn.TEXTSPLIT(P$3,",")),
  IF(SUM(--ISNUMBER(SEARCH(_xlpm.words,_xlpm.target)))&gt;0,"O","X")
)</f>
        <v>X</v>
      </c>
      <c r="Q61" t="str" cm="1">
        <f t="array" ref="Q61">_xlfn.LET(
  _xlpm.target,IFERROR(_xlfn.TEXTBEFORE(_xlfn.TEXTAFTER($F61,"：「"),"」("),""),
  _xlpm.words,TRIM(_xlfn.TEXTSPLIT(Q$3,",")),
  IF(SUM(--ISNUMBER(SEARCH(_xlpm.words,_xlpm.target)))&gt;0,"O","X")
)</f>
        <v>X</v>
      </c>
      <c r="R61" t="str" cm="1">
        <f t="array" ref="R61">_xlfn.LET(
  _xlpm.target,IFERROR(_xlfn.TEXTBEFORE(_xlfn.TEXTAFTER($F61,"：「"),"」("),""),
  _xlpm.words,TRIM(_xlfn.TEXTSPLIT(R$3,",")),
  IF(SUM(--ISNUMBER(SEARCH(_xlpm.words,_xlpm.target)))&gt;0,"O","X")
)</f>
        <v>X</v>
      </c>
      <c r="S61" t="str" cm="1">
        <f t="array" ref="S61">_xlfn.LET(
  _xlpm.target,IFERROR(_xlfn.TEXTBEFORE(_xlfn.TEXTAFTER($F61,"：「"),"」("),""),
  _xlpm.words,TRIM(_xlfn.TEXTSPLIT(S$3,",")),
  IF(SUM(--ISNUMBER(SEARCH(_xlpm.words,_xlpm.target)))&gt;0,"O","X")
)</f>
        <v>X</v>
      </c>
      <c r="T61" t="str" cm="1">
        <f t="array" ref="T61">_xlfn.LET(
  _xlpm.target,IFERROR(_xlfn.TEXTBEFORE(_xlfn.TEXTAFTER($F61,"：「"),"」("),""),
  _xlpm.words,TRIM(_xlfn.TEXTSPLIT(T$3,",")),
  IF(SUM(--ISNUMBER(SEARCH(_xlpm.words,_xlpm.target)))&gt;0,"O","X")
)</f>
        <v>X</v>
      </c>
      <c r="U61" t="str" cm="1">
        <f t="array" ref="U61">_xlfn.LET(
  _xlpm.target,IFERROR(_xlfn.TEXTBEFORE(_xlfn.TEXTAFTER($F61,"：「"),"」("),""),
  _xlpm.words,TRIM(_xlfn.TEXTSPLIT(U$3,",")),
  IF(SUM(--ISNUMBER(SEARCH(_xlpm.words,_xlpm.target)))&gt;0,"O","X")
)</f>
        <v>O</v>
      </c>
      <c r="V61" t="str" cm="1">
        <f t="array" ref="V61">_xlfn.LET(
  _xlpm.target,IFERROR(_xlfn.TEXTBEFORE(_xlfn.TEXTAFTER($F61,"：「"),"」("),""),
  _xlpm.words,TRIM(_xlfn.TEXTSPLIT(V$3,",")),
  IF(SUM(--ISNUMBER(SEARCH(_xlpm.words,_xlpm.target)))&gt;0,"O","X")
)</f>
        <v>X</v>
      </c>
      <c r="W61" t="str" cm="1">
        <f t="array" ref="W61">_xlfn.LET(
  _xlpm.target,IFERROR(_xlfn.TEXTBEFORE(_xlfn.TEXTAFTER($F61,"：「"),"」("),""),
  _xlpm.words,TRIM(_xlfn.TEXTSPLIT(W$3,",")),
  IF(SUM(--ISNUMBER(SEARCH(_xlpm.words,_xlpm.target)))&gt;0,"O","X")
)</f>
        <v>X</v>
      </c>
      <c r="X61" t="str" cm="1">
        <f t="array" ref="X61">_xlfn.LET(
  _xlpm.target,IFERROR(_xlfn.TEXTBEFORE(_xlfn.TEXTAFTER($F61,"：「"),"」("),""),
  _xlpm.words,TRIM(_xlfn.TEXTSPLIT(X$3,",")),
  IF(SUM(--ISNUMBER(SEARCH(_xlpm.words,_xlpm.target)))&gt;0,"O","X")
)</f>
        <v>X</v>
      </c>
    </row>
    <row r="62" spans="1:24">
      <c r="A62">
        <v>59</v>
      </c>
      <c r="B62" t="s">
        <v>172</v>
      </c>
      <c r="C62" t="s">
        <v>173</v>
      </c>
      <c r="D62" t="s">
        <v>174</v>
      </c>
      <c r="E62" t="s">
        <v>175</v>
      </c>
      <c r="F62" t="s">
        <v>193</v>
      </c>
      <c r="G62">
        <f>(LEN(F62)-LEN(SUBSTITUTE(F62,"帝網","")))/LEN("帝網")
 +(LEN(F62)-LEN(SUBSTITUTE(F62,"帝釋網","")))/LEN("帝釋網")
 +(LEN(F62)-LEN(SUBSTITUTE(F62,"因陀羅網","")))/LEN("因陀羅網")</f>
        <v>1</v>
      </c>
      <c r="H62" t="str">
        <f>_xlfn.TEXTBEFORE(_xlfn.TEXTAFTER(F62,"p. "),")")</f>
        <v>1017a25</v>
      </c>
      <c r="I62">
        <f>LEN(_xlfn.TEXTBEFORE(_xlfn.TEXTAFTER(F62,"：「"),"」(CBETA"))</f>
        <v>12</v>
      </c>
      <c r="J62" t="s">
        <v>199</v>
      </c>
      <c r="K62" s="3"/>
      <c r="L62" s="1" t="s">
        <v>120</v>
      </c>
      <c r="M62" s="1" t="s">
        <v>136</v>
      </c>
      <c r="N62" s="1" t="s">
        <v>213</v>
      </c>
      <c r="O62" t="str" cm="1">
        <f t="array" ref="O62">_xlfn.LET(
  _xlpm.target,IFERROR(_xlfn.TEXTBEFORE(_xlfn.TEXTAFTER($F62,"：「"),"」("),""),
  _xlpm.words,TRIM(_xlfn.TEXTSPLIT(O$3,",")),
  IF(SUM(--ISNUMBER(SEARCH(_xlpm.words,_xlpm.target)))&gt;0,"O","X")
)</f>
        <v>X</v>
      </c>
      <c r="P62" t="str" cm="1">
        <f t="array" ref="P62">_xlfn.LET(
  _xlpm.target,IFERROR(_xlfn.TEXTBEFORE(_xlfn.TEXTAFTER($F62,"：「"),"」("),""),
  _xlpm.words,TRIM(_xlfn.TEXTSPLIT(P$3,",")),
  IF(SUM(--ISNUMBER(SEARCH(_xlpm.words,_xlpm.target)))&gt;0,"O","X")
)</f>
        <v>X</v>
      </c>
      <c r="Q62" t="str" cm="1">
        <f t="array" ref="Q62">_xlfn.LET(
  _xlpm.target,IFERROR(_xlfn.TEXTBEFORE(_xlfn.TEXTAFTER($F62,"：「"),"」("),""),
  _xlpm.words,TRIM(_xlfn.TEXTSPLIT(Q$3,",")),
  IF(SUM(--ISNUMBER(SEARCH(_xlpm.words,_xlpm.target)))&gt;0,"O","X")
)</f>
        <v>X</v>
      </c>
      <c r="R62" t="str" cm="1">
        <f t="array" ref="R62">_xlfn.LET(
  _xlpm.target,IFERROR(_xlfn.TEXTBEFORE(_xlfn.TEXTAFTER($F62,"：「"),"」("),""),
  _xlpm.words,TRIM(_xlfn.TEXTSPLIT(R$3,",")),
  IF(SUM(--ISNUMBER(SEARCH(_xlpm.words,_xlpm.target)))&gt;0,"O","X")
)</f>
        <v>X</v>
      </c>
      <c r="S62" t="str" cm="1">
        <f t="array" ref="S62">_xlfn.LET(
  _xlpm.target,IFERROR(_xlfn.TEXTBEFORE(_xlfn.TEXTAFTER($F62,"：「"),"」("),""),
  _xlpm.words,TRIM(_xlfn.TEXTSPLIT(S$3,",")),
  IF(SUM(--ISNUMBER(SEARCH(_xlpm.words,_xlpm.target)))&gt;0,"O","X")
)</f>
        <v>X</v>
      </c>
      <c r="T62" t="str" cm="1">
        <f t="array" ref="T62">_xlfn.LET(
  _xlpm.target,IFERROR(_xlfn.TEXTBEFORE(_xlfn.TEXTAFTER($F62,"：「"),"」("),""),
  _xlpm.words,TRIM(_xlfn.TEXTSPLIT(T$3,",")),
  IF(SUM(--ISNUMBER(SEARCH(_xlpm.words,_xlpm.target)))&gt;0,"O","X")
)</f>
        <v>X</v>
      </c>
      <c r="U62" t="str" cm="1">
        <f t="array" ref="U62">_xlfn.LET(
  _xlpm.target,IFERROR(_xlfn.TEXTBEFORE(_xlfn.TEXTAFTER($F62,"：「"),"」("),""),
  _xlpm.words,TRIM(_xlfn.TEXTSPLIT(U$3,",")),
  IF(SUM(--ISNUMBER(SEARCH(_xlpm.words,_xlpm.target)))&gt;0,"O","X")
)</f>
        <v>X</v>
      </c>
      <c r="V62" t="str" cm="1">
        <f t="array" ref="V62">_xlfn.LET(
  _xlpm.target,IFERROR(_xlfn.TEXTBEFORE(_xlfn.TEXTAFTER($F62,"：「"),"」("),""),
  _xlpm.words,TRIM(_xlfn.TEXTSPLIT(V$3,",")),
  IF(SUM(--ISNUMBER(SEARCH(_xlpm.words,_xlpm.target)))&gt;0,"O","X")
)</f>
        <v>O</v>
      </c>
      <c r="W62" t="str" cm="1">
        <f t="array" ref="W62">_xlfn.LET(
  _xlpm.target,IFERROR(_xlfn.TEXTBEFORE(_xlfn.TEXTAFTER($F62,"：「"),"」("),""),
  _xlpm.words,TRIM(_xlfn.TEXTSPLIT(W$3,",")),
  IF(SUM(--ISNUMBER(SEARCH(_xlpm.words,_xlpm.target)))&gt;0,"O","X")
)</f>
        <v>X</v>
      </c>
      <c r="X62" t="str" cm="1">
        <f t="array" ref="X62">_xlfn.LET(
  _xlpm.target,IFERROR(_xlfn.TEXTBEFORE(_xlfn.TEXTAFTER($F62,"：「"),"」("),""),
  _xlpm.words,TRIM(_xlfn.TEXTSPLIT(X$3,",")),
  IF(SUM(--ISNUMBER(SEARCH(_xlpm.words,_xlpm.target)))&gt;0,"O","X")
)</f>
        <v>X</v>
      </c>
    </row>
    <row r="63" spans="1:24">
      <c r="A63">
        <v>60</v>
      </c>
      <c r="B63" t="s">
        <v>172</v>
      </c>
      <c r="C63" t="s">
        <v>173</v>
      </c>
      <c r="D63" t="s">
        <v>174</v>
      </c>
      <c r="E63" t="s">
        <v>175</v>
      </c>
      <c r="F63" t="s">
        <v>194</v>
      </c>
      <c r="G63">
        <f>(LEN(F63)-LEN(SUBSTITUTE(F63,"帝網","")))/LEN("帝網")
 +(LEN(F63)-LEN(SUBSTITUTE(F63,"帝釋網","")))/LEN("帝釋網")
 +(LEN(F63)-LEN(SUBSTITUTE(F63,"因陀羅網","")))/LEN("因陀羅網")</f>
        <v>1</v>
      </c>
      <c r="H63" t="str">
        <f>_xlfn.TEXTBEFORE(_xlfn.TEXTAFTER(F63,"p. "),")")</f>
        <v>1017a25-27</v>
      </c>
      <c r="I63">
        <f>LEN(_xlfn.TEXTBEFORE(_xlfn.TEXTAFTER(F63,"：「"),"」(CBETA"))</f>
        <v>43</v>
      </c>
      <c r="J63" t="s">
        <v>197</v>
      </c>
      <c r="K63" s="3"/>
      <c r="L63" s="1" t="s">
        <v>120</v>
      </c>
      <c r="M63" s="1" t="s">
        <v>136</v>
      </c>
      <c r="N63" s="1" t="s">
        <v>213</v>
      </c>
      <c r="O63" t="str" cm="1">
        <f t="array" ref="O63">_xlfn.LET(
  _xlpm.target,IFERROR(_xlfn.TEXTBEFORE(_xlfn.TEXTAFTER($F63,"：「"),"」("),""),
  _xlpm.words,TRIM(_xlfn.TEXTSPLIT(O$3,",")),
  IF(SUM(--ISNUMBER(SEARCH(_xlpm.words,_xlpm.target)))&gt;0,"O","X")
)</f>
        <v>O</v>
      </c>
      <c r="P63" t="str" cm="1">
        <f t="array" ref="P63">_xlfn.LET(
  _xlpm.target,IFERROR(_xlfn.TEXTBEFORE(_xlfn.TEXTAFTER($F63,"：「"),"」("),""),
  _xlpm.words,TRIM(_xlfn.TEXTSPLIT(P$3,",")),
  IF(SUM(--ISNUMBER(SEARCH(_xlpm.words,_xlpm.target)))&gt;0,"O","X")
)</f>
        <v>X</v>
      </c>
      <c r="Q63" t="str" cm="1">
        <f t="array" ref="Q63">_xlfn.LET(
  _xlpm.target,IFERROR(_xlfn.TEXTBEFORE(_xlfn.TEXTAFTER($F63,"：「"),"」("),""),
  _xlpm.words,TRIM(_xlfn.TEXTSPLIT(Q$3,",")),
  IF(SUM(--ISNUMBER(SEARCH(_xlpm.words,_xlpm.target)))&gt;0,"O","X")
)</f>
        <v>X</v>
      </c>
      <c r="R63" t="str" cm="1">
        <f t="array" ref="R63">_xlfn.LET(
  _xlpm.target,IFERROR(_xlfn.TEXTBEFORE(_xlfn.TEXTAFTER($F63,"：「"),"」("),""),
  _xlpm.words,TRIM(_xlfn.TEXTSPLIT(R$3,",")),
  IF(SUM(--ISNUMBER(SEARCH(_xlpm.words,_xlpm.target)))&gt;0,"O","X")
)</f>
        <v>X</v>
      </c>
      <c r="S63" t="str" cm="1">
        <f t="array" ref="S63">_xlfn.LET(
  _xlpm.target,IFERROR(_xlfn.TEXTBEFORE(_xlfn.TEXTAFTER($F63,"：「"),"」("),""),
  _xlpm.words,TRIM(_xlfn.TEXTSPLIT(S$3,",")),
  IF(SUM(--ISNUMBER(SEARCH(_xlpm.words,_xlpm.target)))&gt;0,"O","X")
)</f>
        <v>X</v>
      </c>
      <c r="T63" t="str" cm="1">
        <f t="array" ref="T63">_xlfn.LET(
  _xlpm.target,IFERROR(_xlfn.TEXTBEFORE(_xlfn.TEXTAFTER($F63,"：「"),"」("),""),
  _xlpm.words,TRIM(_xlfn.TEXTSPLIT(T$3,",")),
  IF(SUM(--ISNUMBER(SEARCH(_xlpm.words,_xlpm.target)))&gt;0,"O","X")
)</f>
        <v>X</v>
      </c>
      <c r="U63" t="str" cm="1">
        <f t="array" ref="U63">_xlfn.LET(
  _xlpm.target,IFERROR(_xlfn.TEXTBEFORE(_xlfn.TEXTAFTER($F63,"：「"),"」("),""),
  _xlpm.words,TRIM(_xlfn.TEXTSPLIT(U$3,",")),
  IF(SUM(--ISNUMBER(SEARCH(_xlpm.words,_xlpm.target)))&gt;0,"O","X")
)</f>
        <v>X</v>
      </c>
      <c r="V63" t="str" cm="1">
        <f t="array" ref="V63">_xlfn.LET(
  _xlpm.target,IFERROR(_xlfn.TEXTBEFORE(_xlfn.TEXTAFTER($F63,"：「"),"」("),""),
  _xlpm.words,TRIM(_xlfn.TEXTSPLIT(V$3,",")),
  IF(SUM(--ISNUMBER(SEARCH(_xlpm.words,_xlpm.target)))&gt;0,"O","X")
)</f>
        <v>X</v>
      </c>
      <c r="W63" t="str" cm="1">
        <f t="array" ref="W63">_xlfn.LET(
  _xlpm.target,IFERROR(_xlfn.TEXTBEFORE(_xlfn.TEXTAFTER($F63,"：「"),"」("),""),
  _xlpm.words,TRIM(_xlfn.TEXTSPLIT(W$3,",")),
  IF(SUM(--ISNUMBER(SEARCH(_xlpm.words,_xlpm.target)))&gt;0,"O","X")
)</f>
        <v>X</v>
      </c>
      <c r="X63" t="str" cm="1">
        <f t="array" ref="X63">_xlfn.LET(
  _xlpm.target,IFERROR(_xlfn.TEXTBEFORE(_xlfn.TEXTAFTER($F63,"：「"),"」("),""),
  _xlpm.words,TRIM(_xlfn.TEXTSPLIT(X$3,",")),
  IF(SUM(--ISNUMBER(SEARCH(_xlpm.words,_xlpm.target)))&gt;0,"O","X")
)</f>
        <v>X</v>
      </c>
    </row>
  </sheetData>
  <autoFilter ref="A3:X63" xr:uid="{D2209569-AEFA-446D-AE90-A67189EEBEBB}">
    <sortState xmlns:xlrd2="http://schemas.microsoft.com/office/spreadsheetml/2017/richdata2" ref="A4:X63">
      <sortCondition ref="A3:A63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CBETA_export_帝網_帝釋網_因陀羅網 분석용 리스</vt:lpstr>
      <vt:lpstr>'CBETA_export_帝網_帝釋網_因陀羅網 분석용 리스'!Criteria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강준모</cp:lastModifiedBy>
  <dcterms:created xsi:type="dcterms:W3CDTF">2026-08-11T14:19:10Z</dcterms:created>
  <dcterms:modified xsi:type="dcterms:W3CDTF">2026-08-23T14:46:12Z</dcterms:modified>
</cp:coreProperties>
</file>